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wati/Downloads/"/>
    </mc:Choice>
  </mc:AlternateContent>
  <xr:revisionPtr revIDLastSave="0" documentId="13_ncr:1_{B71F549C-56B4-2A46-82BE-D93C38629F33}" xr6:coauthVersionLast="47" xr6:coauthVersionMax="47" xr10:uidLastSave="{00000000-0000-0000-0000-000000000000}"/>
  <bookViews>
    <workbookView xWindow="0" yWindow="880" windowWidth="36000" windowHeight="21120" xr2:uid="{00000000-000D-0000-FFFF-FFFF00000000}"/>
  </bookViews>
  <sheets>
    <sheet name="dataset_1" sheetId="1" r:id="rId1"/>
    <sheet name="Daily Average Temperature" sheetId="2" r:id="rId2"/>
    <sheet name="Hourly Temperature patten" sheetId="3" r:id="rId3"/>
    <sheet name="Weekday Temperature Trend" sheetId="4" r:id="rId4"/>
    <sheet name="Weather Vs Temperature" sheetId="5" r:id="rId5"/>
  </sheets>
  <externalReferences>
    <externalReference r:id="rId6"/>
  </externalReferenc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Q2" i="1"/>
  <c r="R2" i="1"/>
  <c r="S2" i="1"/>
  <c r="T2" i="1"/>
  <c r="O3" i="1"/>
  <c r="P3" i="1"/>
  <c r="Q3" i="1"/>
  <c r="R3" i="1"/>
  <c r="S3" i="1"/>
  <c r="T3" i="1"/>
  <c r="O4" i="1"/>
  <c r="P4" i="1"/>
  <c r="Q4" i="1"/>
  <c r="R4" i="1"/>
  <c r="S4" i="1"/>
  <c r="T4" i="1"/>
  <c r="O5" i="1"/>
  <c r="P5" i="1"/>
  <c r="Q5" i="1"/>
  <c r="R5" i="1"/>
  <c r="S5" i="1"/>
  <c r="T5" i="1"/>
  <c r="O6" i="1"/>
  <c r="P6" i="1"/>
  <c r="Q6" i="1"/>
  <c r="R6" i="1"/>
  <c r="S6" i="1"/>
  <c r="T6" i="1"/>
  <c r="O7" i="1"/>
  <c r="P7" i="1"/>
  <c r="Q7" i="1"/>
  <c r="R7" i="1"/>
  <c r="S7" i="1"/>
  <c r="T7" i="1"/>
  <c r="O8" i="1"/>
  <c r="P8" i="1"/>
  <c r="Q8" i="1"/>
  <c r="R8" i="1"/>
  <c r="S8" i="1"/>
  <c r="T8" i="1"/>
  <c r="O9" i="1"/>
  <c r="P9" i="1"/>
  <c r="Q9" i="1"/>
  <c r="R9" i="1"/>
  <c r="S9" i="1"/>
  <c r="T9" i="1"/>
  <c r="O10" i="1"/>
  <c r="P10" i="1"/>
  <c r="Q10" i="1"/>
  <c r="R10" i="1"/>
  <c r="S10" i="1"/>
  <c r="T10" i="1"/>
  <c r="O11" i="1"/>
  <c r="P11" i="1"/>
  <c r="Q11" i="1"/>
  <c r="R11" i="1"/>
  <c r="S11" i="1"/>
  <c r="T11" i="1"/>
  <c r="O12" i="1"/>
  <c r="P12" i="1"/>
  <c r="Q12" i="1"/>
  <c r="R12" i="1"/>
  <c r="S12" i="1"/>
  <c r="T12" i="1"/>
  <c r="O13" i="1"/>
  <c r="P13" i="1"/>
  <c r="Q13" i="1"/>
  <c r="R13" i="1"/>
  <c r="S13" i="1"/>
  <c r="T13" i="1"/>
  <c r="O14" i="1"/>
  <c r="P14" i="1"/>
  <c r="Q14" i="1"/>
  <c r="R14" i="1"/>
  <c r="S14" i="1"/>
  <c r="T14" i="1"/>
  <c r="O15" i="1"/>
  <c r="P15" i="1"/>
  <c r="Q15" i="1"/>
  <c r="R15" i="1"/>
  <c r="S15" i="1"/>
  <c r="T15" i="1"/>
  <c r="O16" i="1"/>
  <c r="P16" i="1"/>
  <c r="Q16" i="1"/>
  <c r="R16" i="1"/>
  <c r="S16" i="1"/>
  <c r="T16" i="1"/>
  <c r="O17" i="1"/>
  <c r="P17" i="1"/>
  <c r="Q17" i="1"/>
  <c r="R17" i="1"/>
  <c r="S17" i="1"/>
  <c r="T17" i="1"/>
  <c r="O18" i="1"/>
  <c r="P18" i="1"/>
  <c r="Q18" i="1"/>
  <c r="R18" i="1"/>
  <c r="S18" i="1"/>
  <c r="T18" i="1"/>
  <c r="O19" i="1"/>
  <c r="P19" i="1"/>
  <c r="Q19" i="1"/>
  <c r="R19" i="1"/>
  <c r="S19" i="1"/>
  <c r="T19" i="1"/>
  <c r="O20" i="1"/>
  <c r="P20" i="1"/>
  <c r="Q20" i="1"/>
  <c r="R20" i="1"/>
  <c r="S20" i="1"/>
  <c r="T20" i="1"/>
  <c r="O21" i="1"/>
  <c r="P21" i="1"/>
  <c r="Q21" i="1"/>
  <c r="R21" i="1"/>
  <c r="S21" i="1"/>
  <c r="T21" i="1"/>
  <c r="O22" i="1"/>
  <c r="P22" i="1"/>
  <c r="Q22" i="1"/>
  <c r="R22" i="1"/>
  <c r="S22" i="1"/>
  <c r="T22" i="1"/>
  <c r="O23" i="1"/>
  <c r="P23" i="1"/>
  <c r="Q23" i="1"/>
  <c r="R23" i="1"/>
  <c r="S23" i="1"/>
  <c r="T23" i="1"/>
  <c r="O24" i="1"/>
  <c r="P24" i="1"/>
  <c r="Q24" i="1"/>
  <c r="R24" i="1"/>
  <c r="S24" i="1"/>
  <c r="T24" i="1"/>
  <c r="O25" i="1"/>
  <c r="P25" i="1"/>
  <c r="Q25" i="1"/>
  <c r="R25" i="1"/>
  <c r="S25" i="1"/>
  <c r="T25" i="1"/>
  <c r="O26" i="1"/>
  <c r="P26" i="1"/>
  <c r="Q26" i="1"/>
  <c r="R26" i="1"/>
  <c r="S26" i="1"/>
  <c r="T26" i="1"/>
  <c r="O27" i="1"/>
  <c r="P27" i="1"/>
  <c r="Q27" i="1"/>
  <c r="R27" i="1"/>
  <c r="S27" i="1"/>
  <c r="T27" i="1"/>
  <c r="O28" i="1"/>
  <c r="P28" i="1"/>
  <c r="Q28" i="1"/>
  <c r="R28" i="1"/>
  <c r="S28" i="1"/>
  <c r="T28" i="1"/>
  <c r="O29" i="1"/>
  <c r="P29" i="1"/>
  <c r="Q29" i="1"/>
  <c r="R29" i="1"/>
  <c r="S29" i="1"/>
  <c r="T29" i="1"/>
  <c r="O30" i="1"/>
  <c r="P30" i="1"/>
  <c r="Q30" i="1"/>
  <c r="R30" i="1"/>
  <c r="S30" i="1"/>
  <c r="T30" i="1"/>
  <c r="O31" i="1"/>
  <c r="P31" i="1"/>
  <c r="Q31" i="1"/>
  <c r="R31" i="1"/>
  <c r="S31" i="1"/>
  <c r="T31" i="1"/>
  <c r="O32" i="1"/>
  <c r="P32" i="1"/>
  <c r="Q32" i="1"/>
  <c r="R32" i="1"/>
  <c r="S32" i="1"/>
  <c r="T32" i="1"/>
  <c r="O33" i="1"/>
  <c r="P33" i="1"/>
  <c r="Q33" i="1"/>
  <c r="R33" i="1"/>
  <c r="S33" i="1"/>
  <c r="T33" i="1"/>
  <c r="O34" i="1"/>
  <c r="P34" i="1"/>
  <c r="Q34" i="1"/>
  <c r="R34" i="1"/>
  <c r="S34" i="1"/>
  <c r="T34" i="1"/>
  <c r="O35" i="1"/>
  <c r="P35" i="1"/>
  <c r="Q35" i="1"/>
  <c r="R35" i="1"/>
  <c r="S35" i="1"/>
  <c r="T35" i="1"/>
  <c r="O36" i="1"/>
  <c r="P36" i="1"/>
  <c r="Q36" i="1"/>
  <c r="R36" i="1"/>
  <c r="S36" i="1"/>
  <c r="T36" i="1"/>
  <c r="O37" i="1"/>
  <c r="P37" i="1"/>
  <c r="Q37" i="1"/>
  <c r="R37" i="1"/>
  <c r="S37" i="1"/>
  <c r="T37" i="1"/>
  <c r="O38" i="1"/>
  <c r="P38" i="1"/>
  <c r="Q38" i="1"/>
  <c r="R38" i="1"/>
  <c r="S38" i="1"/>
  <c r="T38" i="1"/>
  <c r="O39" i="1"/>
  <c r="P39" i="1"/>
  <c r="Q39" i="1"/>
  <c r="R39" i="1"/>
  <c r="S39" i="1"/>
  <c r="T39" i="1"/>
  <c r="O40" i="1"/>
  <c r="P40" i="1"/>
  <c r="Q40" i="1"/>
  <c r="R40" i="1"/>
  <c r="S40" i="1"/>
  <c r="T40" i="1"/>
  <c r="O41" i="1"/>
  <c r="P41" i="1"/>
  <c r="Q41" i="1"/>
  <c r="R41" i="1"/>
  <c r="S41" i="1"/>
  <c r="T41" i="1"/>
  <c r="O42" i="1"/>
  <c r="P42" i="1"/>
  <c r="Q42" i="1"/>
  <c r="R42" i="1"/>
  <c r="S42" i="1"/>
  <c r="T42" i="1"/>
  <c r="O43" i="1"/>
  <c r="P43" i="1"/>
  <c r="Q43" i="1"/>
  <c r="R43" i="1"/>
  <c r="S43" i="1"/>
  <c r="T43" i="1"/>
  <c r="O44" i="1"/>
  <c r="P44" i="1"/>
  <c r="Q44" i="1"/>
  <c r="R44" i="1"/>
  <c r="S44" i="1"/>
  <c r="T44" i="1"/>
  <c r="O45" i="1"/>
  <c r="P45" i="1"/>
  <c r="Q45" i="1"/>
  <c r="R45" i="1"/>
  <c r="S45" i="1"/>
  <c r="T45" i="1"/>
  <c r="O46" i="1"/>
  <c r="P46" i="1"/>
  <c r="Q46" i="1"/>
  <c r="R46" i="1"/>
  <c r="S46" i="1"/>
  <c r="T46" i="1"/>
  <c r="O47" i="1"/>
  <c r="P47" i="1"/>
  <c r="Q47" i="1"/>
  <c r="R47" i="1"/>
  <c r="S47" i="1"/>
  <c r="T47" i="1"/>
  <c r="O48" i="1"/>
  <c r="P48" i="1"/>
  <c r="Q48" i="1"/>
  <c r="R48" i="1"/>
  <c r="S48" i="1"/>
  <c r="T48" i="1"/>
  <c r="O49" i="1"/>
  <c r="P49" i="1"/>
  <c r="Q49" i="1"/>
  <c r="R49" i="1"/>
  <c r="S49" i="1"/>
  <c r="T49" i="1"/>
  <c r="O50" i="1"/>
  <c r="P50" i="1"/>
  <c r="Q50" i="1"/>
  <c r="R50" i="1"/>
  <c r="S50" i="1"/>
  <c r="T50" i="1"/>
  <c r="O51" i="1"/>
  <c r="P51" i="1"/>
  <c r="Q51" i="1"/>
  <c r="R51" i="1"/>
  <c r="S51" i="1"/>
  <c r="T51" i="1"/>
  <c r="O52" i="1"/>
  <c r="P52" i="1"/>
  <c r="Q52" i="1"/>
  <c r="R52" i="1"/>
  <c r="S52" i="1"/>
  <c r="T52" i="1"/>
  <c r="O53" i="1"/>
  <c r="P53" i="1"/>
  <c r="Q53" i="1"/>
  <c r="R53" i="1"/>
  <c r="S53" i="1"/>
  <c r="T53" i="1"/>
  <c r="O54" i="1"/>
  <c r="P54" i="1"/>
  <c r="Q54" i="1"/>
  <c r="R54" i="1"/>
  <c r="S54" i="1"/>
  <c r="T54" i="1"/>
  <c r="O55" i="1"/>
  <c r="P55" i="1"/>
  <c r="Q55" i="1"/>
  <c r="R55" i="1"/>
  <c r="S55" i="1"/>
  <c r="T55" i="1"/>
  <c r="O56" i="1"/>
  <c r="P56" i="1"/>
  <c r="Q56" i="1"/>
  <c r="R56" i="1"/>
  <c r="S56" i="1"/>
  <c r="T56" i="1"/>
  <c r="O57" i="1"/>
  <c r="P57" i="1"/>
  <c r="Q57" i="1"/>
  <c r="R57" i="1"/>
  <c r="S57" i="1"/>
  <c r="T57" i="1"/>
  <c r="O58" i="1"/>
  <c r="P58" i="1"/>
  <c r="Q58" i="1"/>
  <c r="R58" i="1"/>
  <c r="S58" i="1"/>
  <c r="T58" i="1"/>
  <c r="O59" i="1"/>
  <c r="P59" i="1"/>
  <c r="Q59" i="1"/>
  <c r="R59" i="1"/>
  <c r="S59" i="1"/>
  <c r="T59" i="1"/>
  <c r="O60" i="1"/>
  <c r="P60" i="1"/>
  <c r="Q60" i="1"/>
  <c r="R60" i="1"/>
  <c r="S60" i="1"/>
  <c r="T60" i="1"/>
  <c r="O61" i="1"/>
  <c r="P61" i="1"/>
  <c r="Q61" i="1"/>
  <c r="R61" i="1"/>
  <c r="S61" i="1"/>
  <c r="T61" i="1"/>
  <c r="O62" i="1"/>
  <c r="P62" i="1"/>
  <c r="Q62" i="1"/>
  <c r="R62" i="1"/>
  <c r="S62" i="1"/>
  <c r="T62" i="1"/>
  <c r="O63" i="1"/>
  <c r="P63" i="1"/>
  <c r="Q63" i="1"/>
  <c r="R63" i="1"/>
  <c r="S63" i="1"/>
  <c r="T63" i="1"/>
  <c r="O64" i="1"/>
  <c r="P64" i="1"/>
  <c r="Q64" i="1"/>
  <c r="R64" i="1"/>
  <c r="S64" i="1"/>
  <c r="T64" i="1"/>
  <c r="O65" i="1"/>
  <c r="P65" i="1"/>
  <c r="Q65" i="1"/>
  <c r="R65" i="1"/>
  <c r="S65" i="1"/>
  <c r="T65" i="1"/>
  <c r="O66" i="1"/>
  <c r="P66" i="1"/>
  <c r="Q66" i="1"/>
  <c r="R66" i="1"/>
  <c r="S66" i="1"/>
  <c r="T66" i="1"/>
  <c r="O67" i="1"/>
  <c r="P67" i="1"/>
  <c r="Q67" i="1"/>
  <c r="R67" i="1"/>
  <c r="S67" i="1"/>
  <c r="T67" i="1"/>
  <c r="O68" i="1"/>
  <c r="P68" i="1"/>
  <c r="Q68" i="1"/>
  <c r="R68" i="1"/>
  <c r="S68" i="1"/>
  <c r="T68" i="1"/>
  <c r="O69" i="1"/>
  <c r="P69" i="1"/>
  <c r="Q69" i="1"/>
  <c r="R69" i="1"/>
  <c r="S69" i="1"/>
  <c r="T69" i="1"/>
  <c r="O70" i="1"/>
  <c r="P70" i="1"/>
  <c r="Q70" i="1"/>
  <c r="R70" i="1"/>
  <c r="S70" i="1"/>
  <c r="T70" i="1"/>
  <c r="O71" i="1"/>
  <c r="P71" i="1"/>
  <c r="Q71" i="1"/>
  <c r="R71" i="1"/>
  <c r="S71" i="1"/>
  <c r="T71" i="1"/>
  <c r="O72" i="1"/>
  <c r="P72" i="1"/>
  <c r="Q72" i="1"/>
  <c r="R72" i="1"/>
  <c r="S72" i="1"/>
  <c r="T72" i="1"/>
  <c r="O73" i="1"/>
  <c r="P73" i="1"/>
  <c r="Q73" i="1"/>
  <c r="R73" i="1"/>
  <c r="S73" i="1"/>
  <c r="T73" i="1"/>
  <c r="O74" i="1"/>
  <c r="P74" i="1"/>
  <c r="Q74" i="1"/>
  <c r="R74" i="1"/>
  <c r="S74" i="1"/>
  <c r="T74" i="1"/>
  <c r="O75" i="1"/>
  <c r="P75" i="1"/>
  <c r="Q75" i="1"/>
  <c r="R75" i="1"/>
  <c r="S75" i="1"/>
  <c r="T75" i="1"/>
  <c r="O76" i="1"/>
  <c r="P76" i="1"/>
  <c r="Q76" i="1"/>
  <c r="R76" i="1"/>
  <c r="S76" i="1"/>
  <c r="T76" i="1"/>
  <c r="O77" i="1"/>
  <c r="P77" i="1"/>
  <c r="Q77" i="1"/>
  <c r="R77" i="1"/>
  <c r="S77" i="1"/>
  <c r="T77" i="1"/>
  <c r="O78" i="1"/>
  <c r="P78" i="1"/>
  <c r="Q78" i="1"/>
  <c r="R78" i="1"/>
  <c r="S78" i="1"/>
  <c r="T78" i="1"/>
  <c r="O79" i="1"/>
  <c r="P79" i="1"/>
  <c r="Q79" i="1"/>
  <c r="R79" i="1"/>
  <c r="S79" i="1"/>
  <c r="T79" i="1"/>
  <c r="O80" i="1"/>
  <c r="P80" i="1"/>
  <c r="Q80" i="1"/>
  <c r="R80" i="1"/>
  <c r="S80" i="1"/>
  <c r="T80" i="1"/>
  <c r="O81" i="1"/>
  <c r="P81" i="1"/>
  <c r="Q81" i="1"/>
  <c r="R81" i="1"/>
  <c r="S81" i="1"/>
  <c r="T81" i="1"/>
  <c r="O82" i="1"/>
  <c r="P82" i="1"/>
  <c r="Q82" i="1"/>
  <c r="R82" i="1"/>
  <c r="S82" i="1"/>
  <c r="T82" i="1"/>
  <c r="O83" i="1"/>
  <c r="P83" i="1"/>
  <c r="Q83" i="1"/>
  <c r="R83" i="1"/>
  <c r="S83" i="1"/>
  <c r="T83" i="1"/>
  <c r="O84" i="1"/>
  <c r="P84" i="1"/>
  <c r="Q84" i="1"/>
  <c r="R84" i="1"/>
  <c r="S84" i="1"/>
  <c r="T84" i="1"/>
  <c r="O85" i="1"/>
  <c r="P85" i="1"/>
  <c r="Q85" i="1"/>
  <c r="R85" i="1"/>
  <c r="S85" i="1"/>
  <c r="T85" i="1"/>
  <c r="O86" i="1"/>
  <c r="P86" i="1"/>
  <c r="Q86" i="1"/>
  <c r="R86" i="1"/>
  <c r="S86" i="1"/>
  <c r="T86" i="1"/>
  <c r="O87" i="1"/>
  <c r="P87" i="1"/>
  <c r="Q87" i="1"/>
  <c r="R87" i="1"/>
  <c r="S87" i="1"/>
  <c r="T87" i="1"/>
  <c r="O88" i="1"/>
  <c r="P88" i="1"/>
  <c r="Q88" i="1"/>
  <c r="R88" i="1"/>
  <c r="S88" i="1"/>
  <c r="T88" i="1"/>
  <c r="O89" i="1"/>
  <c r="P89" i="1"/>
  <c r="Q89" i="1"/>
  <c r="R89" i="1"/>
  <c r="S89" i="1"/>
  <c r="T89" i="1"/>
  <c r="O90" i="1"/>
  <c r="P90" i="1"/>
  <c r="Q90" i="1"/>
  <c r="R90" i="1"/>
  <c r="S90" i="1"/>
  <c r="T90" i="1"/>
  <c r="O91" i="1"/>
  <c r="P91" i="1"/>
  <c r="Q91" i="1"/>
  <c r="R91" i="1"/>
  <c r="S91" i="1"/>
  <c r="T91" i="1"/>
  <c r="O92" i="1"/>
  <c r="P92" i="1"/>
  <c r="Q92" i="1"/>
  <c r="R92" i="1"/>
  <c r="S92" i="1"/>
  <c r="T92" i="1"/>
  <c r="O93" i="1"/>
  <c r="P93" i="1"/>
  <c r="Q93" i="1"/>
  <c r="R93" i="1"/>
  <c r="S93" i="1"/>
  <c r="T93" i="1"/>
  <c r="O94" i="1"/>
  <c r="P94" i="1"/>
  <c r="Q94" i="1"/>
  <c r="R94" i="1"/>
  <c r="S94" i="1"/>
  <c r="T94" i="1"/>
  <c r="O95" i="1"/>
  <c r="P95" i="1"/>
  <c r="Q95" i="1"/>
  <c r="R95" i="1"/>
  <c r="S95" i="1"/>
  <c r="T95" i="1"/>
  <c r="O96" i="1"/>
  <c r="P96" i="1"/>
  <c r="Q96" i="1"/>
  <c r="R96" i="1"/>
  <c r="S96" i="1"/>
  <c r="T96" i="1"/>
  <c r="O97" i="1"/>
  <c r="P97" i="1"/>
  <c r="Q97" i="1"/>
  <c r="R97" i="1"/>
  <c r="S97" i="1"/>
  <c r="T97" i="1"/>
  <c r="O98" i="1"/>
  <c r="P98" i="1"/>
  <c r="Q98" i="1"/>
  <c r="R98" i="1"/>
  <c r="S98" i="1"/>
  <c r="T98" i="1"/>
  <c r="O99" i="1"/>
  <c r="P99" i="1"/>
  <c r="Q99" i="1"/>
  <c r="R99" i="1"/>
  <c r="S99" i="1"/>
  <c r="T99" i="1"/>
  <c r="O100" i="1"/>
  <c r="P100" i="1"/>
  <c r="Q100" i="1"/>
  <c r="R100" i="1"/>
  <c r="S100" i="1"/>
  <c r="T100" i="1"/>
  <c r="O101" i="1"/>
  <c r="P101" i="1"/>
  <c r="Q101" i="1"/>
  <c r="R101" i="1"/>
  <c r="S101" i="1"/>
  <c r="T101" i="1"/>
  <c r="O102" i="1"/>
  <c r="P102" i="1"/>
  <c r="Q102" i="1"/>
  <c r="R102" i="1"/>
  <c r="S102" i="1"/>
  <c r="T102" i="1"/>
  <c r="O103" i="1"/>
  <c r="P103" i="1"/>
  <c r="Q103" i="1"/>
  <c r="R103" i="1"/>
  <c r="S103" i="1"/>
  <c r="T103" i="1"/>
  <c r="O104" i="1"/>
  <c r="P104" i="1"/>
  <c r="Q104" i="1"/>
  <c r="R104" i="1"/>
  <c r="S104" i="1"/>
  <c r="T104" i="1"/>
  <c r="O105" i="1"/>
  <c r="P105" i="1"/>
  <c r="Q105" i="1"/>
  <c r="R105" i="1"/>
  <c r="S105" i="1"/>
  <c r="T105" i="1"/>
  <c r="O106" i="1"/>
  <c r="P106" i="1"/>
  <c r="Q106" i="1"/>
  <c r="R106" i="1"/>
  <c r="S106" i="1"/>
  <c r="T106" i="1"/>
  <c r="O107" i="1"/>
  <c r="P107" i="1"/>
  <c r="Q107" i="1"/>
  <c r="R107" i="1"/>
  <c r="S107" i="1"/>
  <c r="T107" i="1"/>
  <c r="O108" i="1"/>
  <c r="P108" i="1"/>
  <c r="Q108" i="1"/>
  <c r="R108" i="1"/>
  <c r="S108" i="1"/>
  <c r="T108" i="1"/>
  <c r="O109" i="1"/>
  <c r="P109" i="1"/>
  <c r="Q109" i="1"/>
  <c r="R109" i="1"/>
  <c r="S109" i="1"/>
  <c r="T109" i="1"/>
  <c r="O110" i="1"/>
  <c r="P110" i="1"/>
  <c r="Q110" i="1"/>
  <c r="R110" i="1"/>
  <c r="S110" i="1"/>
  <c r="T110" i="1"/>
  <c r="O111" i="1"/>
  <c r="P111" i="1"/>
  <c r="Q111" i="1"/>
  <c r="R111" i="1"/>
  <c r="S111" i="1"/>
  <c r="T111" i="1"/>
  <c r="O112" i="1"/>
  <c r="P112" i="1"/>
  <c r="Q112" i="1"/>
  <c r="R112" i="1"/>
  <c r="S112" i="1"/>
  <c r="T112" i="1"/>
  <c r="O113" i="1"/>
  <c r="P113" i="1"/>
  <c r="Q113" i="1"/>
  <c r="R113" i="1"/>
  <c r="S113" i="1"/>
  <c r="T113" i="1"/>
  <c r="O114" i="1"/>
  <c r="P114" i="1"/>
  <c r="Q114" i="1"/>
  <c r="R114" i="1"/>
  <c r="S114" i="1"/>
  <c r="T114" i="1"/>
  <c r="O115" i="1"/>
  <c r="P115" i="1"/>
  <c r="Q115" i="1"/>
  <c r="R115" i="1"/>
  <c r="S115" i="1"/>
  <c r="T115" i="1"/>
  <c r="O116" i="1"/>
  <c r="P116" i="1"/>
  <c r="Q116" i="1"/>
  <c r="R116" i="1"/>
  <c r="S116" i="1"/>
  <c r="T116" i="1"/>
  <c r="O117" i="1"/>
  <c r="P117" i="1"/>
  <c r="Q117" i="1"/>
  <c r="R117" i="1"/>
  <c r="S117" i="1"/>
  <c r="T117" i="1"/>
  <c r="O118" i="1"/>
  <c r="P118" i="1"/>
  <c r="Q118" i="1"/>
  <c r="R118" i="1"/>
  <c r="S118" i="1"/>
  <c r="T118" i="1"/>
  <c r="O119" i="1"/>
  <c r="P119" i="1"/>
  <c r="Q119" i="1"/>
  <c r="R119" i="1"/>
  <c r="S119" i="1"/>
  <c r="T119" i="1"/>
  <c r="O120" i="1"/>
  <c r="P120" i="1"/>
  <c r="Q120" i="1"/>
  <c r="R120" i="1"/>
  <c r="S120" i="1"/>
  <c r="T120" i="1"/>
  <c r="O121" i="1"/>
  <c r="P121" i="1"/>
  <c r="Q121" i="1"/>
  <c r="R121" i="1"/>
  <c r="S121" i="1"/>
  <c r="T121" i="1"/>
  <c r="O122" i="1"/>
  <c r="P122" i="1"/>
  <c r="Q122" i="1"/>
  <c r="R122" i="1"/>
  <c r="S122" i="1"/>
  <c r="T122" i="1"/>
  <c r="O123" i="1"/>
  <c r="P123" i="1"/>
  <c r="Q123" i="1"/>
  <c r="R123" i="1"/>
  <c r="S123" i="1"/>
  <c r="T123" i="1"/>
  <c r="O124" i="1"/>
  <c r="P124" i="1"/>
  <c r="Q124" i="1"/>
  <c r="R124" i="1"/>
  <c r="S124" i="1"/>
  <c r="T124" i="1"/>
  <c r="O125" i="1"/>
  <c r="P125" i="1"/>
  <c r="Q125" i="1"/>
  <c r="R125" i="1"/>
  <c r="S125" i="1"/>
  <c r="T125" i="1"/>
  <c r="O126" i="1"/>
  <c r="P126" i="1"/>
  <c r="Q126" i="1"/>
  <c r="R126" i="1"/>
  <c r="S126" i="1"/>
  <c r="T126" i="1"/>
  <c r="O127" i="1"/>
  <c r="P127" i="1"/>
  <c r="Q127" i="1"/>
  <c r="R127" i="1"/>
  <c r="S127" i="1"/>
  <c r="T127" i="1"/>
  <c r="O128" i="1"/>
  <c r="P128" i="1"/>
  <c r="Q128" i="1"/>
  <c r="R128" i="1"/>
  <c r="S128" i="1"/>
  <c r="T128" i="1"/>
  <c r="O129" i="1"/>
  <c r="P129" i="1"/>
  <c r="Q129" i="1"/>
  <c r="R129" i="1"/>
  <c r="S129" i="1"/>
  <c r="T129" i="1"/>
  <c r="O130" i="1"/>
  <c r="P130" i="1"/>
  <c r="Q130" i="1"/>
  <c r="R130" i="1"/>
  <c r="S130" i="1"/>
  <c r="T130" i="1"/>
  <c r="O131" i="1"/>
  <c r="P131" i="1"/>
  <c r="Q131" i="1"/>
  <c r="R131" i="1"/>
  <c r="S131" i="1"/>
  <c r="T131" i="1"/>
  <c r="O132" i="1"/>
  <c r="P132" i="1"/>
  <c r="Q132" i="1"/>
  <c r="R132" i="1"/>
  <c r="S132" i="1"/>
  <c r="T132" i="1"/>
  <c r="O133" i="1"/>
  <c r="P133" i="1"/>
  <c r="Q133" i="1"/>
  <c r="R133" i="1"/>
  <c r="S133" i="1"/>
  <c r="T133" i="1"/>
  <c r="O134" i="1"/>
  <c r="P134" i="1"/>
  <c r="Q134" i="1"/>
  <c r="R134" i="1"/>
  <c r="S134" i="1"/>
  <c r="T134" i="1"/>
  <c r="O135" i="1"/>
  <c r="P135" i="1"/>
  <c r="Q135" i="1"/>
  <c r="R135" i="1"/>
  <c r="S135" i="1"/>
  <c r="T135" i="1"/>
  <c r="O136" i="1"/>
  <c r="P136" i="1"/>
  <c r="Q136" i="1"/>
  <c r="R136" i="1"/>
  <c r="S136" i="1"/>
  <c r="T136" i="1"/>
  <c r="O137" i="1"/>
  <c r="P137" i="1"/>
  <c r="Q137" i="1"/>
  <c r="R137" i="1"/>
  <c r="S137" i="1"/>
  <c r="T137" i="1"/>
  <c r="O138" i="1"/>
  <c r="P138" i="1"/>
  <c r="Q138" i="1"/>
  <c r="R138" i="1"/>
  <c r="S138" i="1"/>
  <c r="T138" i="1"/>
  <c r="O139" i="1"/>
  <c r="P139" i="1"/>
  <c r="Q139" i="1"/>
  <c r="R139" i="1"/>
  <c r="S139" i="1"/>
  <c r="T139" i="1"/>
  <c r="O140" i="1"/>
  <c r="P140" i="1"/>
  <c r="Q140" i="1"/>
  <c r="R140" i="1"/>
  <c r="S140" i="1"/>
  <c r="T140" i="1"/>
  <c r="O141" i="1"/>
  <c r="P141" i="1"/>
  <c r="Q141" i="1"/>
  <c r="R141" i="1"/>
  <c r="S141" i="1"/>
  <c r="T141" i="1"/>
  <c r="O142" i="1"/>
  <c r="P142" i="1"/>
  <c r="Q142" i="1"/>
  <c r="R142" i="1"/>
  <c r="S142" i="1"/>
  <c r="T142" i="1"/>
  <c r="O143" i="1"/>
  <c r="P143" i="1"/>
  <c r="Q143" i="1"/>
  <c r="R143" i="1"/>
  <c r="S143" i="1"/>
  <c r="T143" i="1"/>
  <c r="O144" i="1"/>
  <c r="P144" i="1"/>
  <c r="Q144" i="1"/>
  <c r="R144" i="1"/>
  <c r="S144" i="1"/>
  <c r="T144" i="1"/>
  <c r="O145" i="1"/>
  <c r="P145" i="1"/>
  <c r="Q145" i="1"/>
  <c r="R145" i="1"/>
  <c r="S145" i="1"/>
  <c r="T145" i="1"/>
  <c r="O146" i="1"/>
  <c r="P146" i="1"/>
  <c r="Q146" i="1"/>
  <c r="R146" i="1"/>
  <c r="S146" i="1"/>
  <c r="T146" i="1"/>
  <c r="O147" i="1"/>
  <c r="P147" i="1"/>
  <c r="Q147" i="1"/>
  <c r="R147" i="1"/>
  <c r="S147" i="1"/>
  <c r="T147" i="1"/>
  <c r="O148" i="1"/>
  <c r="P148" i="1"/>
  <c r="Q148" i="1"/>
  <c r="R148" i="1"/>
  <c r="S148" i="1"/>
  <c r="T148" i="1"/>
  <c r="O149" i="1"/>
  <c r="P149" i="1"/>
  <c r="Q149" i="1"/>
  <c r="R149" i="1"/>
  <c r="S149" i="1"/>
  <c r="T149" i="1"/>
  <c r="O150" i="1"/>
  <c r="P150" i="1"/>
  <c r="Q150" i="1"/>
  <c r="R150" i="1"/>
  <c r="S150" i="1"/>
  <c r="T150" i="1"/>
  <c r="O151" i="1"/>
  <c r="P151" i="1"/>
  <c r="Q151" i="1"/>
  <c r="R151" i="1"/>
  <c r="S151" i="1"/>
  <c r="T151" i="1"/>
  <c r="O152" i="1"/>
  <c r="P152" i="1"/>
  <c r="Q152" i="1"/>
  <c r="R152" i="1"/>
  <c r="S152" i="1"/>
  <c r="T152" i="1"/>
  <c r="O153" i="1"/>
  <c r="P153" i="1"/>
  <c r="Q153" i="1"/>
  <c r="R153" i="1"/>
  <c r="S153" i="1"/>
  <c r="T153" i="1"/>
  <c r="O154" i="1"/>
  <c r="P154" i="1"/>
  <c r="Q154" i="1"/>
  <c r="R154" i="1"/>
  <c r="S154" i="1"/>
  <c r="T154" i="1"/>
  <c r="O155" i="1"/>
  <c r="P155" i="1"/>
  <c r="Q155" i="1"/>
  <c r="R155" i="1"/>
  <c r="S155" i="1"/>
  <c r="T155" i="1"/>
  <c r="O156" i="1"/>
  <c r="P156" i="1"/>
  <c r="Q156" i="1"/>
  <c r="R156" i="1"/>
  <c r="S156" i="1"/>
  <c r="T156" i="1"/>
  <c r="O157" i="1"/>
  <c r="P157" i="1"/>
  <c r="Q157" i="1"/>
  <c r="R157" i="1"/>
  <c r="S157" i="1"/>
  <c r="T157" i="1"/>
  <c r="O158" i="1"/>
  <c r="P158" i="1"/>
  <c r="Q158" i="1"/>
  <c r="R158" i="1"/>
  <c r="S158" i="1"/>
  <c r="T158" i="1"/>
  <c r="O159" i="1"/>
  <c r="P159" i="1"/>
  <c r="Q159" i="1"/>
  <c r="R159" i="1"/>
  <c r="S159" i="1"/>
  <c r="T159" i="1"/>
  <c r="O160" i="1"/>
  <c r="P160" i="1"/>
  <c r="Q160" i="1"/>
  <c r="R160" i="1"/>
  <c r="S160" i="1"/>
  <c r="T160" i="1"/>
  <c r="O161" i="1"/>
  <c r="P161" i="1"/>
  <c r="Q161" i="1"/>
  <c r="R161" i="1"/>
  <c r="S161" i="1"/>
  <c r="T161" i="1"/>
  <c r="O162" i="1"/>
  <c r="P162" i="1"/>
  <c r="Q162" i="1"/>
  <c r="R162" i="1"/>
  <c r="S162" i="1"/>
  <c r="T162" i="1"/>
  <c r="O163" i="1"/>
  <c r="P163" i="1"/>
  <c r="Q163" i="1"/>
  <c r="R163" i="1"/>
  <c r="S163" i="1"/>
  <c r="T163" i="1"/>
  <c r="O164" i="1"/>
  <c r="P164" i="1"/>
  <c r="Q164" i="1"/>
  <c r="R164" i="1"/>
  <c r="S164" i="1"/>
  <c r="T164" i="1"/>
  <c r="O165" i="1"/>
  <c r="P165" i="1"/>
  <c r="Q165" i="1"/>
  <c r="R165" i="1"/>
  <c r="S165" i="1"/>
  <c r="T165" i="1"/>
  <c r="O166" i="1"/>
  <c r="P166" i="1"/>
  <c r="Q166" i="1"/>
  <c r="R166" i="1"/>
  <c r="S166" i="1"/>
  <c r="T166" i="1"/>
  <c r="O167" i="1"/>
  <c r="P167" i="1"/>
  <c r="Q167" i="1"/>
  <c r="R167" i="1"/>
  <c r="S167" i="1"/>
  <c r="T167" i="1"/>
  <c r="O168" i="1"/>
  <c r="P168" i="1"/>
  <c r="Q168" i="1"/>
  <c r="R168" i="1"/>
  <c r="S168" i="1"/>
  <c r="T168" i="1"/>
  <c r="O169" i="1"/>
  <c r="P169" i="1"/>
  <c r="Q169" i="1"/>
  <c r="R169" i="1"/>
  <c r="S169" i="1"/>
  <c r="T169" i="1"/>
  <c r="O170" i="1"/>
  <c r="P170" i="1"/>
  <c r="Q170" i="1"/>
  <c r="R170" i="1"/>
  <c r="S170" i="1"/>
  <c r="T170" i="1"/>
  <c r="O171" i="1"/>
  <c r="P171" i="1"/>
  <c r="Q171" i="1"/>
  <c r="R171" i="1"/>
  <c r="S171" i="1"/>
  <c r="T171" i="1"/>
  <c r="O172" i="1"/>
  <c r="P172" i="1"/>
  <c r="Q172" i="1"/>
  <c r="R172" i="1"/>
  <c r="S172" i="1"/>
  <c r="T172" i="1"/>
  <c r="O173" i="1"/>
  <c r="P173" i="1"/>
  <c r="Q173" i="1"/>
  <c r="R173" i="1"/>
  <c r="S173" i="1"/>
  <c r="T173" i="1"/>
  <c r="O174" i="1"/>
  <c r="P174" i="1"/>
  <c r="Q174" i="1"/>
  <c r="R174" i="1"/>
  <c r="S174" i="1"/>
  <c r="T174" i="1"/>
  <c r="O175" i="1"/>
  <c r="P175" i="1"/>
  <c r="Q175" i="1"/>
  <c r="R175" i="1"/>
  <c r="S175" i="1"/>
  <c r="T175" i="1"/>
  <c r="O176" i="1"/>
  <c r="P176" i="1"/>
  <c r="Q176" i="1"/>
  <c r="R176" i="1"/>
  <c r="S176" i="1"/>
  <c r="T176" i="1"/>
  <c r="O177" i="1"/>
  <c r="P177" i="1"/>
  <c r="Q177" i="1"/>
  <c r="R177" i="1"/>
  <c r="S177" i="1"/>
  <c r="T177" i="1"/>
  <c r="O178" i="1"/>
  <c r="P178" i="1"/>
  <c r="Q178" i="1"/>
  <c r="R178" i="1"/>
  <c r="S178" i="1"/>
  <c r="T178" i="1"/>
  <c r="O179" i="1"/>
  <c r="P179" i="1"/>
  <c r="Q179" i="1"/>
  <c r="R179" i="1"/>
  <c r="S179" i="1"/>
  <c r="T179" i="1"/>
  <c r="O180" i="1"/>
  <c r="P180" i="1"/>
  <c r="Q180" i="1"/>
  <c r="R180" i="1"/>
  <c r="S180" i="1"/>
  <c r="T180" i="1"/>
  <c r="O181" i="1"/>
  <c r="P181" i="1"/>
  <c r="Q181" i="1"/>
  <c r="R181" i="1"/>
  <c r="S181" i="1"/>
  <c r="T181" i="1"/>
  <c r="O182" i="1"/>
  <c r="P182" i="1"/>
  <c r="Q182" i="1"/>
  <c r="R182" i="1"/>
  <c r="S182" i="1"/>
  <c r="T182" i="1"/>
  <c r="O183" i="1"/>
  <c r="P183" i="1"/>
  <c r="Q183" i="1"/>
  <c r="R183" i="1"/>
  <c r="S183" i="1"/>
  <c r="T183" i="1"/>
  <c r="O184" i="1"/>
  <c r="P184" i="1"/>
  <c r="Q184" i="1"/>
  <c r="R184" i="1"/>
  <c r="S184" i="1"/>
  <c r="T184" i="1"/>
  <c r="O185" i="1"/>
  <c r="P185" i="1"/>
  <c r="Q185" i="1"/>
  <c r="R185" i="1"/>
  <c r="S185" i="1"/>
  <c r="T185" i="1"/>
  <c r="O186" i="1"/>
  <c r="P186" i="1"/>
  <c r="Q186" i="1"/>
  <c r="R186" i="1"/>
  <c r="S186" i="1"/>
  <c r="T186" i="1"/>
  <c r="O187" i="1"/>
  <c r="P187" i="1"/>
  <c r="Q187" i="1"/>
  <c r="R187" i="1"/>
  <c r="S187" i="1"/>
  <c r="T187" i="1"/>
  <c r="O188" i="1"/>
  <c r="P188" i="1"/>
  <c r="Q188" i="1"/>
  <c r="R188" i="1"/>
  <c r="S188" i="1"/>
  <c r="T188" i="1"/>
  <c r="O189" i="1"/>
  <c r="P189" i="1"/>
  <c r="Q189" i="1"/>
  <c r="R189" i="1"/>
  <c r="S189" i="1"/>
  <c r="T189" i="1"/>
  <c r="O190" i="1"/>
  <c r="P190" i="1"/>
  <c r="Q190" i="1"/>
  <c r="R190" i="1"/>
  <c r="S190" i="1"/>
  <c r="T190" i="1"/>
  <c r="O191" i="1"/>
  <c r="P191" i="1"/>
  <c r="Q191" i="1"/>
  <c r="R191" i="1"/>
  <c r="S191" i="1"/>
  <c r="T191" i="1"/>
  <c r="O192" i="1"/>
  <c r="P192" i="1"/>
  <c r="Q192" i="1"/>
  <c r="R192" i="1"/>
  <c r="S192" i="1"/>
  <c r="T192" i="1"/>
  <c r="O193" i="1"/>
  <c r="P193" i="1"/>
  <c r="Q193" i="1"/>
  <c r="R193" i="1"/>
  <c r="S193" i="1"/>
  <c r="T193" i="1"/>
  <c r="O194" i="1"/>
  <c r="P194" i="1"/>
  <c r="Q194" i="1"/>
  <c r="R194" i="1"/>
  <c r="S194" i="1"/>
  <c r="T194" i="1"/>
  <c r="O195" i="1"/>
  <c r="P195" i="1"/>
  <c r="Q195" i="1"/>
  <c r="R195" i="1"/>
  <c r="S195" i="1"/>
  <c r="T195" i="1"/>
  <c r="O196" i="1"/>
  <c r="P196" i="1"/>
  <c r="Q196" i="1"/>
  <c r="R196" i="1"/>
  <c r="S196" i="1"/>
  <c r="T196" i="1"/>
  <c r="O197" i="1"/>
  <c r="P197" i="1"/>
  <c r="Q197" i="1"/>
  <c r="R197" i="1"/>
  <c r="S197" i="1"/>
  <c r="T197" i="1"/>
  <c r="O198" i="1"/>
  <c r="P198" i="1"/>
  <c r="Q198" i="1"/>
  <c r="R198" i="1"/>
  <c r="S198" i="1"/>
  <c r="T198" i="1"/>
  <c r="O199" i="1"/>
  <c r="P199" i="1"/>
  <c r="Q199" i="1"/>
  <c r="R199" i="1"/>
  <c r="S199" i="1"/>
  <c r="T199" i="1"/>
  <c r="O200" i="1"/>
  <c r="P200" i="1"/>
  <c r="Q200" i="1"/>
  <c r="R200" i="1"/>
  <c r="S200" i="1"/>
  <c r="T200" i="1"/>
  <c r="O201" i="1"/>
  <c r="P201" i="1"/>
  <c r="Q201" i="1"/>
  <c r="R201" i="1"/>
  <c r="S201" i="1"/>
  <c r="T201" i="1"/>
  <c r="O202" i="1"/>
  <c r="P202" i="1"/>
  <c r="Q202" i="1"/>
  <c r="R202" i="1"/>
  <c r="S202" i="1"/>
  <c r="T202" i="1"/>
  <c r="O203" i="1"/>
  <c r="P203" i="1"/>
  <c r="Q203" i="1"/>
  <c r="R203" i="1"/>
  <c r="S203" i="1"/>
  <c r="T203" i="1"/>
  <c r="O204" i="1"/>
  <c r="P204" i="1"/>
  <c r="Q204" i="1"/>
  <c r="R204" i="1"/>
  <c r="S204" i="1"/>
  <c r="T204" i="1"/>
  <c r="O205" i="1"/>
  <c r="P205" i="1"/>
  <c r="Q205" i="1"/>
  <c r="R205" i="1"/>
  <c r="S205" i="1"/>
  <c r="T205" i="1"/>
  <c r="O206" i="1"/>
  <c r="P206" i="1"/>
  <c r="Q206" i="1"/>
  <c r="R206" i="1"/>
  <c r="S206" i="1"/>
  <c r="T206" i="1"/>
  <c r="O207" i="1"/>
  <c r="P207" i="1"/>
  <c r="Q207" i="1"/>
  <c r="R207" i="1"/>
  <c r="S207" i="1"/>
  <c r="T207" i="1"/>
  <c r="O208" i="1"/>
  <c r="P208" i="1"/>
  <c r="Q208" i="1"/>
  <c r="R208" i="1"/>
  <c r="S208" i="1"/>
  <c r="T208" i="1"/>
  <c r="O209" i="1"/>
  <c r="P209" i="1"/>
  <c r="Q209" i="1"/>
  <c r="R209" i="1"/>
  <c r="S209" i="1"/>
  <c r="T209" i="1"/>
  <c r="O210" i="1"/>
  <c r="P210" i="1"/>
  <c r="Q210" i="1"/>
  <c r="R210" i="1"/>
  <c r="S210" i="1"/>
  <c r="T210" i="1"/>
  <c r="O211" i="1"/>
  <c r="P211" i="1"/>
  <c r="Q211" i="1"/>
  <c r="R211" i="1"/>
  <c r="S211" i="1"/>
  <c r="T211" i="1"/>
  <c r="O212" i="1"/>
  <c r="P212" i="1"/>
  <c r="Q212" i="1"/>
  <c r="R212" i="1"/>
  <c r="S212" i="1"/>
  <c r="T212" i="1"/>
  <c r="O213" i="1"/>
  <c r="P213" i="1"/>
  <c r="Q213" i="1"/>
  <c r="R213" i="1"/>
  <c r="S213" i="1"/>
  <c r="T213" i="1"/>
  <c r="O214" i="1"/>
  <c r="P214" i="1"/>
  <c r="Q214" i="1"/>
  <c r="R214" i="1"/>
  <c r="S214" i="1"/>
  <c r="T214" i="1"/>
  <c r="O215" i="1"/>
  <c r="P215" i="1"/>
  <c r="Q215" i="1"/>
  <c r="R215" i="1"/>
  <c r="S215" i="1"/>
  <c r="T215" i="1"/>
  <c r="O216" i="1"/>
  <c r="P216" i="1"/>
  <c r="Q216" i="1"/>
  <c r="R216" i="1"/>
  <c r="S216" i="1"/>
  <c r="T216" i="1"/>
  <c r="O217" i="1"/>
  <c r="P217" i="1"/>
  <c r="Q217" i="1"/>
  <c r="R217" i="1"/>
  <c r="S217" i="1"/>
  <c r="T217" i="1"/>
  <c r="O218" i="1"/>
  <c r="P218" i="1"/>
  <c r="Q218" i="1"/>
  <c r="R218" i="1"/>
  <c r="S218" i="1"/>
  <c r="T218" i="1"/>
  <c r="O219" i="1"/>
  <c r="P219" i="1"/>
  <c r="Q219" i="1"/>
  <c r="R219" i="1"/>
  <c r="S219" i="1"/>
  <c r="T219" i="1"/>
  <c r="O220" i="1"/>
  <c r="P220" i="1"/>
  <c r="Q220" i="1"/>
  <c r="R220" i="1"/>
  <c r="S220" i="1"/>
  <c r="T220" i="1"/>
  <c r="O221" i="1"/>
  <c r="P221" i="1"/>
  <c r="Q221" i="1"/>
  <c r="R221" i="1"/>
  <c r="S221" i="1"/>
  <c r="T221" i="1"/>
  <c r="O222" i="1"/>
  <c r="P222" i="1"/>
  <c r="Q222" i="1"/>
  <c r="R222" i="1"/>
  <c r="S222" i="1"/>
  <c r="T222" i="1"/>
  <c r="O223" i="1"/>
  <c r="P223" i="1"/>
  <c r="Q223" i="1"/>
  <c r="R223" i="1"/>
  <c r="S223" i="1"/>
  <c r="T223" i="1"/>
  <c r="O224" i="1"/>
  <c r="P224" i="1"/>
  <c r="Q224" i="1"/>
  <c r="R224" i="1"/>
  <c r="S224" i="1"/>
  <c r="T224" i="1"/>
  <c r="O225" i="1"/>
  <c r="P225" i="1"/>
  <c r="Q225" i="1"/>
  <c r="R225" i="1"/>
  <c r="S225" i="1"/>
  <c r="T225" i="1"/>
  <c r="O226" i="1"/>
  <c r="P226" i="1"/>
  <c r="Q226" i="1"/>
  <c r="R226" i="1"/>
  <c r="S226" i="1"/>
  <c r="T226" i="1"/>
  <c r="O227" i="1"/>
  <c r="P227" i="1"/>
  <c r="Q227" i="1"/>
  <c r="R227" i="1"/>
  <c r="S227" i="1"/>
  <c r="T227" i="1"/>
  <c r="O228" i="1"/>
  <c r="P228" i="1"/>
  <c r="Q228" i="1"/>
  <c r="R228" i="1"/>
  <c r="S228" i="1"/>
  <c r="T228" i="1"/>
  <c r="O229" i="1"/>
  <c r="P229" i="1"/>
  <c r="Q229" i="1"/>
  <c r="R229" i="1"/>
  <c r="S229" i="1"/>
  <c r="T229" i="1"/>
  <c r="O230" i="1"/>
  <c r="P230" i="1"/>
  <c r="Q230" i="1"/>
  <c r="R230" i="1"/>
  <c r="S230" i="1"/>
  <c r="T230" i="1"/>
  <c r="O231" i="1"/>
  <c r="P231" i="1"/>
  <c r="Q231" i="1"/>
  <c r="R231" i="1"/>
  <c r="S231" i="1"/>
  <c r="T231" i="1"/>
  <c r="O232" i="1"/>
  <c r="P232" i="1"/>
  <c r="Q232" i="1"/>
  <c r="R232" i="1"/>
  <c r="S232" i="1"/>
  <c r="T232" i="1"/>
  <c r="O233" i="1"/>
  <c r="P233" i="1"/>
  <c r="Q233" i="1"/>
  <c r="R233" i="1"/>
  <c r="S233" i="1"/>
  <c r="T233" i="1"/>
  <c r="O234" i="1"/>
  <c r="P234" i="1"/>
  <c r="Q234" i="1"/>
  <c r="R234" i="1"/>
  <c r="S234" i="1"/>
  <c r="T234" i="1"/>
  <c r="O235" i="1"/>
  <c r="P235" i="1"/>
  <c r="Q235" i="1"/>
  <c r="R235" i="1"/>
  <c r="S235" i="1"/>
  <c r="T235" i="1"/>
  <c r="O236" i="1"/>
  <c r="P236" i="1"/>
  <c r="Q236" i="1"/>
  <c r="R236" i="1"/>
  <c r="S236" i="1"/>
  <c r="T236" i="1"/>
  <c r="O237" i="1"/>
  <c r="P237" i="1"/>
  <c r="Q237" i="1"/>
  <c r="R237" i="1"/>
  <c r="S237" i="1"/>
  <c r="T237" i="1"/>
  <c r="O238" i="1"/>
  <c r="P238" i="1"/>
  <c r="Q238" i="1"/>
  <c r="R238" i="1"/>
  <c r="S238" i="1"/>
  <c r="T238" i="1"/>
  <c r="O239" i="1"/>
  <c r="P239" i="1"/>
  <c r="Q239" i="1"/>
  <c r="R239" i="1"/>
  <c r="S239" i="1"/>
  <c r="T239" i="1"/>
  <c r="O240" i="1"/>
  <c r="P240" i="1"/>
  <c r="Q240" i="1"/>
  <c r="R240" i="1"/>
  <c r="S240" i="1"/>
  <c r="T240" i="1"/>
  <c r="O241" i="1"/>
  <c r="P241" i="1"/>
  <c r="Q241" i="1"/>
  <c r="R241" i="1"/>
  <c r="S241" i="1"/>
  <c r="T241" i="1"/>
  <c r="O242" i="1"/>
  <c r="P242" i="1"/>
  <c r="Q242" i="1"/>
  <c r="R242" i="1"/>
  <c r="S242" i="1"/>
  <c r="T242" i="1"/>
  <c r="O243" i="1"/>
  <c r="P243" i="1"/>
  <c r="Q243" i="1"/>
  <c r="R243" i="1"/>
  <c r="S243" i="1"/>
  <c r="T243" i="1"/>
  <c r="O244" i="1"/>
  <c r="P244" i="1"/>
  <c r="Q244" i="1"/>
  <c r="R244" i="1"/>
  <c r="S244" i="1"/>
  <c r="T244" i="1"/>
  <c r="O245" i="1"/>
  <c r="P245" i="1"/>
  <c r="Q245" i="1"/>
  <c r="R245" i="1"/>
  <c r="S245" i="1"/>
  <c r="T245" i="1"/>
  <c r="O246" i="1"/>
  <c r="P246" i="1"/>
  <c r="Q246" i="1"/>
  <c r="R246" i="1"/>
  <c r="S246" i="1"/>
  <c r="T246" i="1"/>
  <c r="O247" i="1"/>
  <c r="P247" i="1"/>
  <c r="Q247" i="1"/>
  <c r="R247" i="1"/>
  <c r="S247" i="1"/>
  <c r="T247" i="1"/>
  <c r="O248" i="1"/>
  <c r="P248" i="1"/>
  <c r="Q248" i="1"/>
  <c r="R248" i="1"/>
  <c r="S248" i="1"/>
  <c r="T248" i="1"/>
  <c r="O249" i="1"/>
  <c r="P249" i="1"/>
  <c r="Q249" i="1"/>
  <c r="R249" i="1"/>
  <c r="S249" i="1"/>
  <c r="T249" i="1"/>
  <c r="O250" i="1"/>
  <c r="P250" i="1"/>
  <c r="Q250" i="1"/>
  <c r="R250" i="1"/>
  <c r="S250" i="1"/>
  <c r="T250" i="1"/>
  <c r="O251" i="1"/>
  <c r="P251" i="1"/>
  <c r="Q251" i="1"/>
  <c r="R251" i="1"/>
  <c r="S251" i="1"/>
  <c r="T251" i="1"/>
  <c r="O252" i="1"/>
  <c r="P252" i="1"/>
  <c r="Q252" i="1"/>
  <c r="R252" i="1"/>
  <c r="S252" i="1"/>
  <c r="T252" i="1"/>
  <c r="O253" i="1"/>
  <c r="P253" i="1"/>
  <c r="Q253" i="1"/>
  <c r="R253" i="1"/>
  <c r="S253" i="1"/>
  <c r="T253" i="1"/>
  <c r="O254" i="1"/>
  <c r="P254" i="1"/>
  <c r="Q254" i="1"/>
  <c r="R254" i="1"/>
  <c r="S254" i="1"/>
  <c r="T254" i="1"/>
  <c r="O255" i="1"/>
  <c r="P255" i="1"/>
  <c r="Q255" i="1"/>
  <c r="R255" i="1"/>
  <c r="S255" i="1"/>
  <c r="T255" i="1"/>
  <c r="O256" i="1"/>
  <c r="P256" i="1"/>
  <c r="Q256" i="1"/>
  <c r="R256" i="1"/>
  <c r="S256" i="1"/>
  <c r="T256" i="1"/>
  <c r="O257" i="1"/>
  <c r="P257" i="1"/>
  <c r="Q257" i="1"/>
  <c r="R257" i="1"/>
  <c r="S257" i="1"/>
  <c r="T257" i="1"/>
  <c r="O258" i="1"/>
  <c r="P258" i="1"/>
  <c r="Q258" i="1"/>
  <c r="R258" i="1"/>
  <c r="S258" i="1"/>
  <c r="T258" i="1"/>
  <c r="O259" i="1"/>
  <c r="P259" i="1"/>
  <c r="Q259" i="1"/>
  <c r="R259" i="1"/>
  <c r="S259" i="1"/>
  <c r="T259" i="1"/>
  <c r="O260" i="1"/>
  <c r="P260" i="1"/>
  <c r="Q260" i="1"/>
  <c r="R260" i="1"/>
  <c r="S260" i="1"/>
  <c r="T260" i="1"/>
  <c r="O261" i="1"/>
  <c r="P261" i="1"/>
  <c r="Q261" i="1"/>
  <c r="R261" i="1"/>
  <c r="S261" i="1"/>
  <c r="T261" i="1"/>
  <c r="O262" i="1"/>
  <c r="P262" i="1"/>
  <c r="Q262" i="1"/>
  <c r="R262" i="1"/>
  <c r="S262" i="1"/>
  <c r="T262" i="1"/>
  <c r="O263" i="1"/>
  <c r="P263" i="1"/>
  <c r="Q263" i="1"/>
  <c r="R263" i="1"/>
  <c r="S263" i="1"/>
  <c r="T263" i="1"/>
  <c r="O264" i="1"/>
  <c r="P264" i="1"/>
  <c r="Q264" i="1"/>
  <c r="R264" i="1"/>
  <c r="S264" i="1"/>
  <c r="T264" i="1"/>
  <c r="O265" i="1"/>
  <c r="P265" i="1"/>
  <c r="Q265" i="1"/>
  <c r="R265" i="1"/>
  <c r="S265" i="1"/>
  <c r="T265" i="1"/>
  <c r="O266" i="1"/>
  <c r="P266" i="1"/>
  <c r="Q266" i="1"/>
  <c r="R266" i="1"/>
  <c r="S266" i="1"/>
  <c r="T266" i="1"/>
  <c r="O267" i="1"/>
  <c r="P267" i="1"/>
  <c r="Q267" i="1"/>
  <c r="R267" i="1"/>
  <c r="S267" i="1"/>
  <c r="T267" i="1"/>
  <c r="O268" i="1"/>
  <c r="P268" i="1"/>
  <c r="Q268" i="1"/>
  <c r="R268" i="1"/>
  <c r="S268" i="1"/>
  <c r="T268" i="1"/>
  <c r="O269" i="1"/>
  <c r="P269" i="1"/>
  <c r="Q269" i="1"/>
  <c r="R269" i="1"/>
  <c r="S269" i="1"/>
  <c r="T269" i="1"/>
  <c r="O270" i="1"/>
  <c r="P270" i="1"/>
  <c r="Q270" i="1"/>
  <c r="R270" i="1"/>
  <c r="S270" i="1"/>
  <c r="T270" i="1"/>
  <c r="O271" i="1"/>
  <c r="P271" i="1"/>
  <c r="Q271" i="1"/>
  <c r="R271" i="1"/>
  <c r="S271" i="1"/>
  <c r="T271" i="1"/>
  <c r="O272" i="1"/>
  <c r="P272" i="1"/>
  <c r="Q272" i="1"/>
  <c r="R272" i="1"/>
  <c r="S272" i="1"/>
  <c r="T272" i="1"/>
  <c r="O273" i="1"/>
  <c r="P273" i="1"/>
  <c r="Q273" i="1"/>
  <c r="R273" i="1"/>
  <c r="S273" i="1"/>
  <c r="T273" i="1"/>
  <c r="O274" i="1"/>
  <c r="P274" i="1"/>
  <c r="Q274" i="1"/>
  <c r="R274" i="1"/>
  <c r="S274" i="1"/>
  <c r="T274" i="1"/>
  <c r="O275" i="1"/>
  <c r="P275" i="1"/>
  <c r="Q275" i="1"/>
  <c r="R275" i="1"/>
  <c r="S275" i="1"/>
  <c r="T275" i="1"/>
  <c r="O276" i="1"/>
  <c r="P276" i="1"/>
  <c r="Q276" i="1"/>
  <c r="R276" i="1"/>
  <c r="S276" i="1"/>
  <c r="T276" i="1"/>
  <c r="O277" i="1"/>
  <c r="P277" i="1"/>
  <c r="Q277" i="1"/>
  <c r="R277" i="1"/>
  <c r="S277" i="1"/>
  <c r="T277" i="1"/>
  <c r="O278" i="1"/>
  <c r="P278" i="1"/>
  <c r="Q278" i="1"/>
  <c r="R278" i="1"/>
  <c r="S278" i="1"/>
  <c r="T278" i="1"/>
  <c r="O279" i="1"/>
  <c r="P279" i="1"/>
  <c r="Q279" i="1"/>
  <c r="R279" i="1"/>
  <c r="S279" i="1"/>
  <c r="T279" i="1"/>
  <c r="O280" i="1"/>
  <c r="P280" i="1"/>
  <c r="Q280" i="1"/>
  <c r="R280" i="1"/>
  <c r="S280" i="1"/>
  <c r="T280" i="1"/>
  <c r="O281" i="1"/>
  <c r="P281" i="1"/>
  <c r="Q281" i="1"/>
  <c r="R281" i="1"/>
  <c r="S281" i="1"/>
  <c r="T281" i="1"/>
  <c r="O282" i="1"/>
  <c r="P282" i="1"/>
  <c r="Q282" i="1"/>
  <c r="R282" i="1"/>
  <c r="S282" i="1"/>
  <c r="T282" i="1"/>
  <c r="O283" i="1"/>
  <c r="P283" i="1"/>
  <c r="Q283" i="1"/>
  <c r="R283" i="1"/>
  <c r="S283" i="1"/>
  <c r="T283" i="1"/>
  <c r="O284" i="1"/>
  <c r="P284" i="1"/>
  <c r="Q284" i="1"/>
  <c r="R284" i="1"/>
  <c r="S284" i="1"/>
  <c r="T284" i="1"/>
  <c r="O285" i="1"/>
  <c r="P285" i="1"/>
  <c r="Q285" i="1"/>
  <c r="R285" i="1"/>
  <c r="S285" i="1"/>
  <c r="T285" i="1"/>
  <c r="O286" i="1"/>
  <c r="P286" i="1"/>
  <c r="Q286" i="1"/>
  <c r="R286" i="1"/>
  <c r="S286" i="1"/>
  <c r="T286" i="1"/>
  <c r="O287" i="1"/>
  <c r="P287" i="1"/>
  <c r="Q287" i="1"/>
  <c r="R287" i="1"/>
  <c r="S287" i="1"/>
  <c r="T287" i="1"/>
  <c r="O288" i="1"/>
  <c r="P288" i="1"/>
  <c r="Q288" i="1"/>
  <c r="R288" i="1"/>
  <c r="S288" i="1"/>
  <c r="T288" i="1"/>
  <c r="O289" i="1"/>
  <c r="P289" i="1"/>
  <c r="Q289" i="1"/>
  <c r="R289" i="1"/>
  <c r="S289" i="1"/>
  <c r="T289" i="1"/>
  <c r="O290" i="1"/>
  <c r="P290" i="1"/>
  <c r="Q290" i="1"/>
  <c r="R290" i="1"/>
  <c r="S290" i="1"/>
  <c r="T290" i="1"/>
  <c r="O291" i="1"/>
  <c r="P291" i="1"/>
  <c r="Q291" i="1"/>
  <c r="R291" i="1"/>
  <c r="S291" i="1"/>
  <c r="T291" i="1"/>
  <c r="O292" i="1"/>
  <c r="P292" i="1"/>
  <c r="Q292" i="1"/>
  <c r="R292" i="1"/>
  <c r="S292" i="1"/>
  <c r="T292" i="1"/>
  <c r="O293" i="1"/>
  <c r="P293" i="1"/>
  <c r="Q293" i="1"/>
  <c r="R293" i="1"/>
  <c r="S293" i="1"/>
  <c r="T293" i="1"/>
  <c r="O294" i="1"/>
  <c r="P294" i="1"/>
  <c r="Q294" i="1"/>
  <c r="R294" i="1"/>
  <c r="S294" i="1"/>
  <c r="T294" i="1"/>
  <c r="O295" i="1"/>
  <c r="P295" i="1"/>
  <c r="Q295" i="1"/>
  <c r="R295" i="1"/>
  <c r="S295" i="1"/>
  <c r="T295" i="1"/>
  <c r="O296" i="1"/>
  <c r="P296" i="1"/>
  <c r="Q296" i="1"/>
  <c r="R296" i="1"/>
  <c r="S296" i="1"/>
  <c r="T296" i="1"/>
  <c r="O297" i="1"/>
  <c r="P297" i="1"/>
  <c r="Q297" i="1"/>
  <c r="R297" i="1"/>
  <c r="S297" i="1"/>
  <c r="T297" i="1"/>
  <c r="O298" i="1"/>
  <c r="P298" i="1"/>
  <c r="Q298" i="1"/>
  <c r="R298" i="1"/>
  <c r="S298" i="1"/>
  <c r="T298" i="1"/>
  <c r="O299" i="1"/>
  <c r="P299" i="1"/>
  <c r="Q299" i="1"/>
  <c r="R299" i="1"/>
  <c r="S299" i="1"/>
  <c r="T299" i="1"/>
  <c r="O300" i="1"/>
  <c r="P300" i="1"/>
  <c r="Q300" i="1"/>
  <c r="R300" i="1"/>
  <c r="S300" i="1"/>
  <c r="T300" i="1"/>
  <c r="O301" i="1"/>
  <c r="P301" i="1"/>
  <c r="Q301" i="1"/>
  <c r="R301" i="1"/>
  <c r="S301" i="1"/>
  <c r="T301" i="1"/>
  <c r="O302" i="1"/>
  <c r="P302" i="1"/>
  <c r="Q302" i="1"/>
  <c r="R302" i="1"/>
  <c r="S302" i="1"/>
  <c r="T302" i="1"/>
  <c r="O303" i="1"/>
  <c r="P303" i="1"/>
  <c r="Q303" i="1"/>
  <c r="R303" i="1"/>
  <c r="S303" i="1"/>
  <c r="T303" i="1"/>
  <c r="O304" i="1"/>
  <c r="P304" i="1"/>
  <c r="Q304" i="1"/>
  <c r="R304" i="1"/>
  <c r="S304" i="1"/>
  <c r="T304" i="1"/>
  <c r="O305" i="1"/>
  <c r="P305" i="1"/>
  <c r="Q305" i="1"/>
  <c r="R305" i="1"/>
  <c r="S305" i="1"/>
  <c r="T305" i="1"/>
  <c r="O306" i="1"/>
  <c r="P306" i="1"/>
  <c r="Q306" i="1"/>
  <c r="R306" i="1"/>
  <c r="S306" i="1"/>
  <c r="T306" i="1"/>
  <c r="O307" i="1"/>
  <c r="P307" i="1"/>
  <c r="Q307" i="1"/>
  <c r="R307" i="1"/>
  <c r="S307" i="1"/>
  <c r="T307" i="1"/>
  <c r="O308" i="1"/>
  <c r="P308" i="1"/>
  <c r="Q308" i="1"/>
  <c r="R308" i="1"/>
  <c r="S308" i="1"/>
  <c r="T308" i="1"/>
  <c r="O309" i="1"/>
  <c r="P309" i="1"/>
  <c r="Q309" i="1"/>
  <c r="R309" i="1"/>
  <c r="S309" i="1"/>
  <c r="T309" i="1"/>
  <c r="O310" i="1"/>
  <c r="P310" i="1"/>
  <c r="Q310" i="1"/>
  <c r="R310" i="1"/>
  <c r="S310" i="1"/>
  <c r="T310" i="1"/>
  <c r="O311" i="1"/>
  <c r="P311" i="1"/>
  <c r="Q311" i="1"/>
  <c r="R311" i="1"/>
  <c r="S311" i="1"/>
  <c r="T311" i="1"/>
  <c r="O312" i="1"/>
  <c r="P312" i="1"/>
  <c r="Q312" i="1"/>
  <c r="R312" i="1"/>
  <c r="S312" i="1"/>
  <c r="T312" i="1"/>
  <c r="O313" i="1"/>
  <c r="P313" i="1"/>
  <c r="Q313" i="1"/>
  <c r="R313" i="1"/>
  <c r="S313" i="1"/>
  <c r="T313" i="1"/>
  <c r="O314" i="1"/>
  <c r="P314" i="1"/>
  <c r="Q314" i="1"/>
  <c r="R314" i="1"/>
  <c r="S314" i="1"/>
  <c r="T314" i="1"/>
  <c r="O315" i="1"/>
  <c r="P315" i="1"/>
  <c r="Q315" i="1"/>
  <c r="R315" i="1"/>
  <c r="S315" i="1"/>
  <c r="T315" i="1"/>
  <c r="O316" i="1"/>
  <c r="P316" i="1"/>
  <c r="Q316" i="1"/>
  <c r="R316" i="1"/>
  <c r="S316" i="1"/>
  <c r="T316" i="1"/>
  <c r="O317" i="1"/>
  <c r="P317" i="1"/>
  <c r="Q317" i="1"/>
  <c r="R317" i="1"/>
  <c r="S317" i="1"/>
  <c r="T317" i="1"/>
  <c r="O318" i="1"/>
  <c r="P318" i="1"/>
  <c r="Q318" i="1"/>
  <c r="R318" i="1"/>
  <c r="S318" i="1"/>
  <c r="T318" i="1"/>
  <c r="O319" i="1"/>
  <c r="P319" i="1"/>
  <c r="Q319" i="1"/>
  <c r="R319" i="1"/>
  <c r="S319" i="1"/>
  <c r="T319" i="1"/>
  <c r="O320" i="1"/>
  <c r="P320" i="1"/>
  <c r="Q320" i="1"/>
  <c r="R320" i="1"/>
  <c r="S320" i="1"/>
  <c r="T320" i="1"/>
  <c r="O321" i="1"/>
  <c r="P321" i="1"/>
  <c r="Q321" i="1"/>
  <c r="R321" i="1"/>
  <c r="S321" i="1"/>
  <c r="T321" i="1"/>
  <c r="O322" i="1"/>
  <c r="P322" i="1"/>
  <c r="Q322" i="1"/>
  <c r="R322" i="1"/>
  <c r="S322" i="1"/>
  <c r="T322" i="1"/>
  <c r="O323" i="1"/>
  <c r="P323" i="1"/>
  <c r="Q323" i="1"/>
  <c r="R323" i="1"/>
  <c r="S323" i="1"/>
  <c r="T323" i="1"/>
  <c r="O324" i="1"/>
  <c r="P324" i="1"/>
  <c r="Q324" i="1"/>
  <c r="R324" i="1"/>
  <c r="S324" i="1"/>
  <c r="T324" i="1"/>
  <c r="O325" i="1"/>
  <c r="P325" i="1"/>
  <c r="Q325" i="1"/>
  <c r="R325" i="1"/>
  <c r="S325" i="1"/>
  <c r="T325" i="1"/>
  <c r="O326" i="1"/>
  <c r="P326" i="1"/>
  <c r="Q326" i="1"/>
  <c r="R326" i="1"/>
  <c r="S326" i="1"/>
  <c r="T326" i="1"/>
  <c r="O327" i="1"/>
  <c r="P327" i="1"/>
  <c r="Q327" i="1"/>
  <c r="R327" i="1"/>
  <c r="S327" i="1"/>
  <c r="T327" i="1"/>
  <c r="O328" i="1"/>
  <c r="P328" i="1"/>
  <c r="Q328" i="1"/>
  <c r="R328" i="1"/>
  <c r="S328" i="1"/>
  <c r="T328" i="1"/>
  <c r="O329" i="1"/>
  <c r="P329" i="1"/>
  <c r="Q329" i="1"/>
  <c r="R329" i="1"/>
  <c r="S329" i="1"/>
  <c r="T329" i="1"/>
  <c r="O330" i="1"/>
  <c r="P330" i="1"/>
  <c r="Q330" i="1"/>
  <c r="R330" i="1"/>
  <c r="S330" i="1"/>
  <c r="T330" i="1"/>
  <c r="O331" i="1"/>
  <c r="P331" i="1"/>
  <c r="Q331" i="1"/>
  <c r="R331" i="1"/>
  <c r="S331" i="1"/>
  <c r="T331" i="1"/>
  <c r="O332" i="1"/>
  <c r="P332" i="1"/>
  <c r="Q332" i="1"/>
  <c r="R332" i="1"/>
  <c r="S332" i="1"/>
  <c r="T332" i="1"/>
  <c r="O333" i="1"/>
  <c r="P333" i="1"/>
  <c r="Q333" i="1"/>
  <c r="R333" i="1"/>
  <c r="S333" i="1"/>
  <c r="T333" i="1"/>
  <c r="O334" i="1"/>
  <c r="P334" i="1"/>
  <c r="Q334" i="1"/>
  <c r="R334" i="1"/>
  <c r="S334" i="1"/>
  <c r="T334" i="1"/>
  <c r="O335" i="1"/>
  <c r="P335" i="1"/>
  <c r="Q335" i="1"/>
  <c r="R335" i="1"/>
  <c r="S335" i="1"/>
  <c r="T335" i="1"/>
  <c r="O336" i="1"/>
  <c r="P336" i="1"/>
  <c r="Q336" i="1"/>
  <c r="R336" i="1"/>
  <c r="S336" i="1"/>
  <c r="T336" i="1"/>
  <c r="O337" i="1"/>
  <c r="P337" i="1"/>
  <c r="Q337" i="1"/>
  <c r="R337" i="1"/>
  <c r="S337" i="1"/>
  <c r="T337" i="1"/>
  <c r="O338" i="1"/>
  <c r="P338" i="1"/>
  <c r="Q338" i="1"/>
  <c r="R338" i="1"/>
  <c r="S338" i="1"/>
  <c r="T338" i="1"/>
  <c r="O339" i="1"/>
  <c r="P339" i="1"/>
  <c r="Q339" i="1"/>
  <c r="R339" i="1"/>
  <c r="S339" i="1"/>
  <c r="T339" i="1"/>
  <c r="O340" i="1"/>
  <c r="P340" i="1"/>
  <c r="Q340" i="1"/>
  <c r="R340" i="1"/>
  <c r="S340" i="1"/>
  <c r="T340" i="1"/>
  <c r="O341" i="1"/>
  <c r="P341" i="1"/>
  <c r="Q341" i="1"/>
  <c r="R341" i="1"/>
  <c r="S341" i="1"/>
  <c r="T341" i="1"/>
  <c r="O342" i="1"/>
  <c r="P342" i="1"/>
  <c r="Q342" i="1"/>
  <c r="R342" i="1"/>
  <c r="S342" i="1"/>
  <c r="T342" i="1"/>
  <c r="O343" i="1"/>
  <c r="P343" i="1"/>
  <c r="Q343" i="1"/>
  <c r="R343" i="1"/>
  <c r="S343" i="1"/>
  <c r="T343" i="1"/>
  <c r="O344" i="1"/>
  <c r="P344" i="1"/>
  <c r="Q344" i="1"/>
  <c r="R344" i="1"/>
  <c r="S344" i="1"/>
  <c r="T344" i="1"/>
  <c r="O345" i="1"/>
  <c r="P345" i="1"/>
  <c r="Q345" i="1"/>
  <c r="R345" i="1"/>
  <c r="S345" i="1"/>
  <c r="T345" i="1"/>
  <c r="O346" i="1"/>
  <c r="P346" i="1"/>
  <c r="Q346" i="1"/>
  <c r="R346" i="1"/>
  <c r="S346" i="1"/>
  <c r="T346" i="1"/>
  <c r="O347" i="1"/>
  <c r="P347" i="1"/>
  <c r="Q347" i="1"/>
  <c r="R347" i="1"/>
  <c r="S347" i="1"/>
  <c r="T347" i="1"/>
  <c r="O348" i="1"/>
  <c r="P348" i="1"/>
  <c r="Q348" i="1"/>
  <c r="R348" i="1"/>
  <c r="S348" i="1"/>
  <c r="T348" i="1"/>
  <c r="O349" i="1"/>
  <c r="P349" i="1"/>
  <c r="Q349" i="1"/>
  <c r="R349" i="1"/>
  <c r="S349" i="1"/>
  <c r="T349" i="1"/>
  <c r="O350" i="1"/>
  <c r="P350" i="1"/>
  <c r="Q350" i="1"/>
  <c r="R350" i="1"/>
  <c r="S350" i="1"/>
  <c r="T350" i="1"/>
  <c r="O351" i="1"/>
  <c r="P351" i="1"/>
  <c r="Q351" i="1"/>
  <c r="R351" i="1"/>
  <c r="S351" i="1"/>
  <c r="T351" i="1"/>
  <c r="O352" i="1"/>
  <c r="P352" i="1"/>
  <c r="Q352" i="1"/>
  <c r="R352" i="1"/>
  <c r="S352" i="1"/>
  <c r="T352" i="1"/>
  <c r="O353" i="1"/>
  <c r="P353" i="1"/>
  <c r="Q353" i="1"/>
  <c r="R353" i="1"/>
  <c r="S353" i="1"/>
  <c r="T353" i="1"/>
  <c r="O354" i="1"/>
  <c r="P354" i="1"/>
  <c r="Q354" i="1"/>
  <c r="R354" i="1"/>
  <c r="S354" i="1"/>
  <c r="T354" i="1"/>
  <c r="O355" i="1"/>
  <c r="P355" i="1"/>
  <c r="Q355" i="1"/>
  <c r="R355" i="1"/>
  <c r="S355" i="1"/>
  <c r="T355" i="1"/>
  <c r="O356" i="1"/>
  <c r="P356" i="1"/>
  <c r="Q356" i="1"/>
  <c r="R356" i="1"/>
  <c r="S356" i="1"/>
  <c r="T356" i="1"/>
  <c r="O357" i="1"/>
  <c r="P357" i="1"/>
  <c r="Q357" i="1"/>
  <c r="R357" i="1"/>
  <c r="S357" i="1"/>
  <c r="T357" i="1"/>
  <c r="O358" i="1"/>
  <c r="P358" i="1"/>
  <c r="Q358" i="1"/>
  <c r="R358" i="1"/>
  <c r="S358" i="1"/>
  <c r="T358" i="1"/>
  <c r="O359" i="1"/>
  <c r="P359" i="1"/>
  <c r="Q359" i="1"/>
  <c r="R359" i="1"/>
  <c r="S359" i="1"/>
  <c r="T359" i="1"/>
  <c r="O360" i="1"/>
  <c r="P360" i="1"/>
  <c r="Q360" i="1"/>
  <c r="R360" i="1"/>
  <c r="S360" i="1"/>
  <c r="T360" i="1"/>
  <c r="O361" i="1"/>
  <c r="P361" i="1"/>
  <c r="Q361" i="1"/>
  <c r="R361" i="1"/>
  <c r="S361" i="1"/>
  <c r="T361" i="1"/>
  <c r="O362" i="1"/>
  <c r="P362" i="1"/>
  <c r="Q362" i="1"/>
  <c r="R362" i="1"/>
  <c r="S362" i="1"/>
  <c r="T362" i="1"/>
  <c r="O363" i="1"/>
  <c r="P363" i="1"/>
  <c r="Q363" i="1"/>
  <c r="R363" i="1"/>
  <c r="S363" i="1"/>
  <c r="T363" i="1"/>
  <c r="O364" i="1"/>
  <c r="P364" i="1"/>
  <c r="Q364" i="1"/>
  <c r="R364" i="1"/>
  <c r="S364" i="1"/>
  <c r="T364" i="1"/>
  <c r="O365" i="1"/>
  <c r="P365" i="1"/>
  <c r="Q365" i="1"/>
  <c r="R365" i="1"/>
  <c r="S365" i="1"/>
  <c r="T365" i="1"/>
  <c r="O366" i="1"/>
  <c r="P366" i="1"/>
  <c r="Q366" i="1"/>
  <c r="R366" i="1"/>
  <c r="S366" i="1"/>
  <c r="T366" i="1"/>
  <c r="O367" i="1"/>
  <c r="P367" i="1"/>
  <c r="Q367" i="1"/>
  <c r="R367" i="1"/>
  <c r="S367" i="1"/>
  <c r="T367" i="1"/>
  <c r="O368" i="1"/>
  <c r="P368" i="1"/>
  <c r="Q368" i="1"/>
  <c r="R368" i="1"/>
  <c r="S368" i="1"/>
  <c r="T368" i="1"/>
  <c r="O369" i="1"/>
  <c r="P369" i="1"/>
  <c r="Q369" i="1"/>
  <c r="R369" i="1"/>
  <c r="S369" i="1"/>
  <c r="T369" i="1"/>
  <c r="O370" i="1"/>
  <c r="P370" i="1"/>
  <c r="Q370" i="1"/>
  <c r="R370" i="1"/>
  <c r="S370" i="1"/>
  <c r="T370" i="1"/>
  <c r="O371" i="1"/>
  <c r="P371" i="1"/>
  <c r="Q371" i="1"/>
  <c r="R371" i="1"/>
  <c r="S371" i="1"/>
  <c r="T371" i="1"/>
  <c r="O372" i="1"/>
  <c r="P372" i="1"/>
  <c r="Q372" i="1"/>
  <c r="R372" i="1"/>
  <c r="S372" i="1"/>
  <c r="T372" i="1"/>
  <c r="O373" i="1"/>
  <c r="P373" i="1"/>
  <c r="Q373" i="1"/>
  <c r="R373" i="1"/>
  <c r="S373" i="1"/>
  <c r="T373" i="1"/>
  <c r="O374" i="1"/>
  <c r="P374" i="1"/>
  <c r="Q374" i="1"/>
  <c r="R374" i="1"/>
  <c r="S374" i="1"/>
  <c r="T374" i="1"/>
  <c r="O375" i="1"/>
  <c r="P375" i="1"/>
  <c r="Q375" i="1"/>
  <c r="R375" i="1"/>
  <c r="S375" i="1"/>
  <c r="T375" i="1"/>
  <c r="O376" i="1"/>
  <c r="P376" i="1"/>
  <c r="Q376" i="1"/>
  <c r="R376" i="1"/>
  <c r="S376" i="1"/>
  <c r="T376" i="1"/>
  <c r="O377" i="1"/>
  <c r="P377" i="1"/>
  <c r="Q377" i="1"/>
  <c r="R377" i="1"/>
  <c r="S377" i="1"/>
  <c r="T377" i="1"/>
  <c r="O378" i="1"/>
  <c r="P378" i="1"/>
  <c r="Q378" i="1"/>
  <c r="R378" i="1"/>
  <c r="S378" i="1"/>
  <c r="T378" i="1"/>
  <c r="O379" i="1"/>
  <c r="P379" i="1"/>
  <c r="Q379" i="1"/>
  <c r="R379" i="1"/>
  <c r="S379" i="1"/>
  <c r="T379" i="1"/>
  <c r="O380" i="1"/>
  <c r="P380" i="1"/>
  <c r="Q380" i="1"/>
  <c r="R380" i="1"/>
  <c r="S380" i="1"/>
  <c r="T380" i="1"/>
  <c r="O381" i="1"/>
  <c r="P381" i="1"/>
  <c r="Q381" i="1"/>
  <c r="R381" i="1"/>
  <c r="S381" i="1"/>
  <c r="T381" i="1"/>
  <c r="O382" i="1"/>
  <c r="P382" i="1"/>
  <c r="Q382" i="1"/>
  <c r="R382" i="1"/>
  <c r="S382" i="1"/>
  <c r="T382" i="1"/>
  <c r="O383" i="1"/>
  <c r="P383" i="1"/>
  <c r="Q383" i="1"/>
  <c r="R383" i="1"/>
  <c r="S383" i="1"/>
  <c r="T383" i="1"/>
  <c r="O384" i="1"/>
  <c r="P384" i="1"/>
  <c r="Q384" i="1"/>
  <c r="R384" i="1"/>
  <c r="S384" i="1"/>
  <c r="T384" i="1"/>
  <c r="O385" i="1"/>
  <c r="P385" i="1"/>
  <c r="Q385" i="1"/>
  <c r="R385" i="1"/>
  <c r="S385" i="1"/>
  <c r="T385" i="1"/>
  <c r="O386" i="1"/>
  <c r="P386" i="1"/>
  <c r="Q386" i="1"/>
  <c r="R386" i="1"/>
  <c r="S386" i="1"/>
  <c r="T386" i="1"/>
  <c r="O387" i="1"/>
  <c r="P387" i="1"/>
  <c r="Q387" i="1"/>
  <c r="R387" i="1"/>
  <c r="S387" i="1"/>
  <c r="T387" i="1"/>
  <c r="O388" i="1"/>
  <c r="P388" i="1"/>
  <c r="Q388" i="1"/>
  <c r="R388" i="1"/>
  <c r="S388" i="1"/>
  <c r="T388" i="1"/>
  <c r="O389" i="1"/>
  <c r="P389" i="1"/>
  <c r="Q389" i="1"/>
  <c r="R389" i="1"/>
  <c r="S389" i="1"/>
  <c r="T389" i="1"/>
  <c r="O390" i="1"/>
  <c r="P390" i="1"/>
  <c r="Q390" i="1"/>
  <c r="R390" i="1"/>
  <c r="S390" i="1"/>
  <c r="T390" i="1"/>
  <c r="O391" i="1"/>
  <c r="P391" i="1"/>
  <c r="Q391" i="1"/>
  <c r="R391" i="1"/>
  <c r="S391" i="1"/>
  <c r="T391" i="1"/>
  <c r="O392" i="1"/>
  <c r="P392" i="1"/>
  <c r="Q392" i="1"/>
  <c r="R392" i="1"/>
  <c r="S392" i="1"/>
  <c r="T392" i="1"/>
  <c r="O393" i="1"/>
  <c r="P393" i="1"/>
  <c r="Q393" i="1"/>
  <c r="R393" i="1"/>
  <c r="S393" i="1"/>
  <c r="T393" i="1"/>
  <c r="O394" i="1"/>
  <c r="P394" i="1"/>
  <c r="Q394" i="1"/>
  <c r="R394" i="1"/>
  <c r="S394" i="1"/>
  <c r="T394" i="1"/>
  <c r="O395" i="1"/>
  <c r="P395" i="1"/>
  <c r="Q395" i="1"/>
  <c r="R395" i="1"/>
  <c r="S395" i="1"/>
  <c r="T395" i="1"/>
  <c r="O396" i="1"/>
  <c r="P396" i="1"/>
  <c r="Q396" i="1"/>
  <c r="R396" i="1"/>
  <c r="S396" i="1"/>
  <c r="T396" i="1"/>
  <c r="O397" i="1"/>
  <c r="P397" i="1"/>
  <c r="Q397" i="1"/>
  <c r="R397" i="1"/>
  <c r="S397" i="1"/>
  <c r="T397" i="1"/>
  <c r="O398" i="1"/>
  <c r="P398" i="1"/>
  <c r="Q398" i="1"/>
  <c r="R398" i="1"/>
  <c r="S398" i="1"/>
  <c r="T398" i="1"/>
  <c r="O399" i="1"/>
  <c r="P399" i="1"/>
  <c r="Q399" i="1"/>
  <c r="R399" i="1"/>
  <c r="S399" i="1"/>
  <c r="T399" i="1"/>
  <c r="O400" i="1"/>
  <c r="P400" i="1"/>
  <c r="Q400" i="1"/>
  <c r="R400" i="1"/>
  <c r="S400" i="1"/>
  <c r="T400" i="1"/>
  <c r="O401" i="1"/>
  <c r="P401" i="1"/>
  <c r="Q401" i="1"/>
  <c r="R401" i="1"/>
  <c r="S401" i="1"/>
  <c r="T401" i="1"/>
  <c r="O402" i="1"/>
  <c r="P402" i="1"/>
  <c r="Q402" i="1"/>
  <c r="R402" i="1"/>
  <c r="S402" i="1"/>
  <c r="T402" i="1"/>
  <c r="O403" i="1"/>
  <c r="P403" i="1"/>
  <c r="Q403" i="1"/>
  <c r="R403" i="1"/>
  <c r="S403" i="1"/>
  <c r="T403" i="1"/>
  <c r="O404" i="1"/>
  <c r="P404" i="1"/>
  <c r="Q404" i="1"/>
  <c r="R404" i="1"/>
  <c r="S404" i="1"/>
  <c r="T404" i="1"/>
  <c r="O405" i="1"/>
  <c r="P405" i="1"/>
  <c r="Q405" i="1"/>
  <c r="R405" i="1"/>
  <c r="S405" i="1"/>
  <c r="T405" i="1"/>
  <c r="O406" i="1"/>
  <c r="P406" i="1"/>
  <c r="Q406" i="1"/>
  <c r="R406" i="1"/>
  <c r="S406" i="1"/>
  <c r="T406" i="1"/>
  <c r="O407" i="1"/>
  <c r="P407" i="1"/>
  <c r="Q407" i="1"/>
  <c r="R407" i="1"/>
  <c r="S407" i="1"/>
  <c r="T407" i="1"/>
  <c r="O408" i="1"/>
  <c r="P408" i="1"/>
  <c r="Q408" i="1"/>
  <c r="R408" i="1"/>
  <c r="S408" i="1"/>
  <c r="T408" i="1"/>
  <c r="O409" i="1"/>
  <c r="P409" i="1"/>
  <c r="Q409" i="1"/>
  <c r="R409" i="1"/>
  <c r="S409" i="1"/>
  <c r="T409" i="1"/>
  <c r="O410" i="1"/>
  <c r="P410" i="1"/>
  <c r="Q410" i="1"/>
  <c r="R410" i="1"/>
  <c r="S410" i="1"/>
  <c r="T410" i="1"/>
  <c r="O411" i="1"/>
  <c r="P411" i="1"/>
  <c r="Q411" i="1"/>
  <c r="R411" i="1"/>
  <c r="S411" i="1"/>
  <c r="T411" i="1"/>
  <c r="O412" i="1"/>
  <c r="P412" i="1"/>
  <c r="Q412" i="1"/>
  <c r="R412" i="1"/>
  <c r="S412" i="1"/>
  <c r="T412" i="1"/>
  <c r="O413" i="1"/>
  <c r="P413" i="1"/>
  <c r="Q413" i="1"/>
  <c r="R413" i="1"/>
  <c r="S413" i="1"/>
  <c r="T413" i="1"/>
  <c r="O414" i="1"/>
  <c r="P414" i="1"/>
  <c r="Q414" i="1"/>
  <c r="R414" i="1"/>
  <c r="S414" i="1"/>
  <c r="T414" i="1"/>
  <c r="O415" i="1"/>
  <c r="P415" i="1"/>
  <c r="Q415" i="1"/>
  <c r="R415" i="1"/>
  <c r="S415" i="1"/>
  <c r="T415" i="1"/>
  <c r="O416" i="1"/>
  <c r="P416" i="1"/>
  <c r="Q416" i="1"/>
  <c r="R416" i="1"/>
  <c r="S416" i="1"/>
  <c r="T416" i="1"/>
  <c r="O417" i="1"/>
  <c r="P417" i="1"/>
  <c r="Q417" i="1"/>
  <c r="R417" i="1"/>
  <c r="S417" i="1"/>
  <c r="T417" i="1"/>
  <c r="O418" i="1"/>
  <c r="P418" i="1"/>
  <c r="Q418" i="1"/>
  <c r="R418" i="1"/>
  <c r="S418" i="1"/>
  <c r="T418" i="1"/>
  <c r="O419" i="1"/>
  <c r="P419" i="1"/>
  <c r="Q419" i="1"/>
  <c r="R419" i="1"/>
  <c r="S419" i="1"/>
  <c r="T419" i="1"/>
  <c r="O420" i="1"/>
  <c r="P420" i="1"/>
  <c r="Q420" i="1"/>
  <c r="R420" i="1"/>
  <c r="S420" i="1"/>
  <c r="T420" i="1"/>
  <c r="O421" i="1"/>
  <c r="P421" i="1"/>
  <c r="Q421" i="1"/>
  <c r="R421" i="1"/>
  <c r="S421" i="1"/>
  <c r="T421" i="1"/>
  <c r="O422" i="1"/>
  <c r="P422" i="1"/>
  <c r="Q422" i="1"/>
  <c r="R422" i="1"/>
  <c r="S422" i="1"/>
  <c r="T422" i="1"/>
  <c r="O423" i="1"/>
  <c r="P423" i="1"/>
  <c r="Q423" i="1"/>
  <c r="R423" i="1"/>
  <c r="S423" i="1"/>
  <c r="T423" i="1"/>
  <c r="O424" i="1"/>
  <c r="P424" i="1"/>
  <c r="Q424" i="1"/>
  <c r="R424" i="1"/>
  <c r="S424" i="1"/>
  <c r="T424" i="1"/>
  <c r="O425" i="1"/>
  <c r="P425" i="1"/>
  <c r="Q425" i="1"/>
  <c r="R425" i="1"/>
  <c r="S425" i="1"/>
  <c r="T425" i="1"/>
  <c r="O426" i="1"/>
  <c r="P426" i="1"/>
  <c r="Q426" i="1"/>
  <c r="R426" i="1"/>
  <c r="S426" i="1"/>
  <c r="T426" i="1"/>
  <c r="O427" i="1"/>
  <c r="P427" i="1"/>
  <c r="Q427" i="1"/>
  <c r="R427" i="1"/>
  <c r="S427" i="1"/>
  <c r="T427" i="1"/>
  <c r="O428" i="1"/>
  <c r="P428" i="1"/>
  <c r="Q428" i="1"/>
  <c r="R428" i="1"/>
  <c r="S428" i="1"/>
  <c r="T428" i="1"/>
  <c r="O429" i="1"/>
  <c r="P429" i="1"/>
  <c r="Q429" i="1"/>
  <c r="R429" i="1"/>
  <c r="S429" i="1"/>
  <c r="T429" i="1"/>
  <c r="O430" i="1"/>
  <c r="P430" i="1"/>
  <c r="Q430" i="1"/>
  <c r="R430" i="1"/>
  <c r="S430" i="1"/>
  <c r="T430" i="1"/>
  <c r="O431" i="1"/>
  <c r="P431" i="1"/>
  <c r="Q431" i="1"/>
  <c r="R431" i="1"/>
  <c r="S431" i="1"/>
  <c r="T431" i="1"/>
  <c r="O432" i="1"/>
  <c r="P432" i="1"/>
  <c r="Q432" i="1"/>
  <c r="R432" i="1"/>
  <c r="S432" i="1"/>
  <c r="T432" i="1"/>
  <c r="O433" i="1"/>
  <c r="P433" i="1"/>
  <c r="Q433" i="1"/>
  <c r="R433" i="1"/>
  <c r="S433" i="1"/>
  <c r="T433" i="1"/>
  <c r="O434" i="1"/>
  <c r="P434" i="1"/>
  <c r="Q434" i="1"/>
  <c r="R434" i="1"/>
  <c r="S434" i="1"/>
  <c r="T434" i="1"/>
  <c r="O435" i="1"/>
  <c r="P435" i="1"/>
  <c r="Q435" i="1"/>
  <c r="R435" i="1"/>
  <c r="S435" i="1"/>
  <c r="T435" i="1"/>
  <c r="O436" i="1"/>
  <c r="P436" i="1"/>
  <c r="Q436" i="1"/>
  <c r="R436" i="1"/>
  <c r="S436" i="1"/>
  <c r="T436" i="1"/>
  <c r="O437" i="1"/>
  <c r="P437" i="1"/>
  <c r="Q437" i="1"/>
  <c r="R437" i="1"/>
  <c r="S437" i="1"/>
  <c r="T437" i="1"/>
  <c r="O438" i="1"/>
  <c r="P438" i="1"/>
  <c r="Q438" i="1"/>
  <c r="R438" i="1"/>
  <c r="S438" i="1"/>
  <c r="T438" i="1"/>
  <c r="O439" i="1"/>
  <c r="P439" i="1"/>
  <c r="Q439" i="1"/>
  <c r="R439" i="1"/>
  <c r="S439" i="1"/>
  <c r="T439" i="1"/>
  <c r="O440" i="1"/>
  <c r="P440" i="1"/>
  <c r="Q440" i="1"/>
  <c r="R440" i="1"/>
  <c r="S440" i="1"/>
  <c r="T440" i="1"/>
  <c r="O441" i="1"/>
  <c r="P441" i="1"/>
  <c r="Q441" i="1"/>
  <c r="R441" i="1"/>
  <c r="S441" i="1"/>
  <c r="T441" i="1"/>
  <c r="O442" i="1"/>
  <c r="P442" i="1"/>
  <c r="Q442" i="1"/>
  <c r="R442" i="1"/>
  <c r="S442" i="1"/>
  <c r="T442" i="1"/>
  <c r="O443" i="1"/>
  <c r="P443" i="1"/>
  <c r="Q443" i="1"/>
  <c r="R443" i="1"/>
  <c r="S443" i="1"/>
  <c r="T443" i="1"/>
  <c r="O444" i="1"/>
  <c r="P444" i="1"/>
  <c r="Q444" i="1"/>
  <c r="R444" i="1"/>
  <c r="S444" i="1"/>
  <c r="T444" i="1"/>
  <c r="O445" i="1"/>
  <c r="P445" i="1"/>
  <c r="Q445" i="1"/>
  <c r="R445" i="1"/>
  <c r="S445" i="1"/>
  <c r="T445" i="1"/>
  <c r="O446" i="1"/>
  <c r="P446" i="1"/>
  <c r="Q446" i="1"/>
  <c r="R446" i="1"/>
  <c r="S446" i="1"/>
  <c r="T446" i="1"/>
  <c r="O447" i="1"/>
  <c r="P447" i="1"/>
  <c r="Q447" i="1"/>
  <c r="R447" i="1"/>
  <c r="S447" i="1"/>
  <c r="T447" i="1"/>
  <c r="O448" i="1"/>
  <c r="P448" i="1"/>
  <c r="Q448" i="1"/>
  <c r="R448" i="1"/>
  <c r="S448" i="1"/>
  <c r="T448" i="1"/>
  <c r="O449" i="1"/>
  <c r="P449" i="1"/>
  <c r="Q449" i="1"/>
  <c r="R449" i="1"/>
  <c r="S449" i="1"/>
  <c r="T449" i="1"/>
  <c r="O450" i="1"/>
  <c r="P450" i="1"/>
  <c r="Q450" i="1"/>
  <c r="R450" i="1"/>
  <c r="S450" i="1"/>
  <c r="T450" i="1"/>
  <c r="O451" i="1"/>
  <c r="P451" i="1"/>
  <c r="Q451" i="1"/>
  <c r="R451" i="1"/>
  <c r="S451" i="1"/>
  <c r="T451" i="1"/>
  <c r="O452" i="1"/>
  <c r="P452" i="1"/>
  <c r="Q452" i="1"/>
  <c r="R452" i="1"/>
  <c r="S452" i="1"/>
  <c r="T452" i="1"/>
  <c r="O453" i="1"/>
  <c r="P453" i="1"/>
  <c r="Q453" i="1"/>
  <c r="R453" i="1"/>
  <c r="S453" i="1"/>
  <c r="T453" i="1"/>
  <c r="O454" i="1"/>
  <c r="P454" i="1"/>
  <c r="Q454" i="1"/>
  <c r="R454" i="1"/>
  <c r="S454" i="1"/>
  <c r="T454" i="1"/>
  <c r="O455" i="1"/>
  <c r="P455" i="1"/>
  <c r="Q455" i="1"/>
  <c r="R455" i="1"/>
  <c r="S455" i="1"/>
  <c r="T455" i="1"/>
  <c r="O456" i="1"/>
  <c r="P456" i="1"/>
  <c r="Q456" i="1"/>
  <c r="R456" i="1"/>
  <c r="S456" i="1"/>
  <c r="T456" i="1"/>
  <c r="O457" i="1"/>
  <c r="P457" i="1"/>
  <c r="Q457" i="1"/>
  <c r="R457" i="1"/>
  <c r="S457" i="1"/>
  <c r="T457" i="1"/>
  <c r="O458" i="1"/>
  <c r="P458" i="1"/>
  <c r="Q458" i="1"/>
  <c r="R458" i="1"/>
  <c r="S458" i="1"/>
  <c r="T458" i="1"/>
  <c r="O459" i="1"/>
  <c r="P459" i="1"/>
  <c r="Q459" i="1"/>
  <c r="R459" i="1"/>
  <c r="S459" i="1"/>
  <c r="T459" i="1"/>
  <c r="O460" i="1"/>
  <c r="P460" i="1"/>
  <c r="Q460" i="1"/>
  <c r="R460" i="1"/>
  <c r="S460" i="1"/>
  <c r="T460" i="1"/>
  <c r="O461" i="1"/>
  <c r="P461" i="1"/>
  <c r="Q461" i="1"/>
  <c r="R461" i="1"/>
  <c r="S461" i="1"/>
  <c r="T461" i="1"/>
  <c r="O462" i="1"/>
  <c r="P462" i="1"/>
  <c r="Q462" i="1"/>
  <c r="R462" i="1"/>
  <c r="S462" i="1"/>
  <c r="T462" i="1"/>
  <c r="O463" i="1"/>
  <c r="P463" i="1"/>
  <c r="Q463" i="1"/>
  <c r="R463" i="1"/>
  <c r="S463" i="1"/>
  <c r="T463" i="1"/>
  <c r="O464" i="1"/>
  <c r="P464" i="1"/>
  <c r="Q464" i="1"/>
  <c r="R464" i="1"/>
  <c r="S464" i="1"/>
  <c r="T464" i="1"/>
  <c r="O465" i="1"/>
  <c r="P465" i="1"/>
  <c r="Q465" i="1"/>
  <c r="R465" i="1"/>
  <c r="S465" i="1"/>
  <c r="T465" i="1"/>
  <c r="O466" i="1"/>
  <c r="P466" i="1"/>
  <c r="Q466" i="1"/>
  <c r="R466" i="1"/>
  <c r="S466" i="1"/>
  <c r="T466" i="1"/>
  <c r="O467" i="1"/>
  <c r="P467" i="1"/>
  <c r="Q467" i="1"/>
  <c r="R467" i="1"/>
  <c r="S467" i="1"/>
  <c r="T467" i="1"/>
  <c r="O468" i="1"/>
  <c r="P468" i="1"/>
  <c r="Q468" i="1"/>
  <c r="R468" i="1"/>
  <c r="S468" i="1"/>
  <c r="T468" i="1"/>
  <c r="O469" i="1"/>
  <c r="P469" i="1"/>
  <c r="Q469" i="1"/>
  <c r="R469" i="1"/>
  <c r="S469" i="1"/>
  <c r="T469" i="1"/>
  <c r="O470" i="1"/>
  <c r="P470" i="1"/>
  <c r="Q470" i="1"/>
  <c r="R470" i="1"/>
  <c r="S470" i="1"/>
  <c r="T470" i="1"/>
  <c r="O471" i="1"/>
  <c r="P471" i="1"/>
  <c r="Q471" i="1"/>
  <c r="R471" i="1"/>
  <c r="S471" i="1"/>
  <c r="T471" i="1"/>
  <c r="O472" i="1"/>
  <c r="P472" i="1"/>
  <c r="Q472" i="1"/>
  <c r="R472" i="1"/>
  <c r="S472" i="1"/>
  <c r="T472" i="1"/>
  <c r="O473" i="1"/>
  <c r="P473" i="1"/>
  <c r="Q473" i="1"/>
  <c r="R473" i="1"/>
  <c r="S473" i="1"/>
  <c r="T473" i="1"/>
  <c r="O474" i="1"/>
  <c r="P474" i="1"/>
  <c r="Q474" i="1"/>
  <c r="R474" i="1"/>
  <c r="S474" i="1"/>
  <c r="T474" i="1"/>
  <c r="O475" i="1"/>
  <c r="P475" i="1"/>
  <c r="Q475" i="1"/>
  <c r="R475" i="1"/>
  <c r="S475" i="1"/>
  <c r="T475" i="1"/>
  <c r="O476" i="1"/>
  <c r="P476" i="1"/>
  <c r="Q476" i="1"/>
  <c r="R476" i="1"/>
  <c r="S476" i="1"/>
  <c r="T476" i="1"/>
  <c r="O477" i="1"/>
  <c r="P477" i="1"/>
  <c r="Q477" i="1"/>
  <c r="R477" i="1"/>
  <c r="S477" i="1"/>
  <c r="T477" i="1"/>
  <c r="O478" i="1"/>
  <c r="P478" i="1"/>
  <c r="Q478" i="1"/>
  <c r="R478" i="1"/>
  <c r="S478" i="1"/>
  <c r="T478" i="1"/>
  <c r="O479" i="1"/>
  <c r="P479" i="1"/>
  <c r="Q479" i="1"/>
  <c r="R479" i="1"/>
  <c r="S479" i="1"/>
  <c r="T479" i="1"/>
  <c r="O480" i="1"/>
  <c r="P480" i="1"/>
  <c r="Q480" i="1"/>
  <c r="R480" i="1"/>
  <c r="S480" i="1"/>
  <c r="T480" i="1"/>
  <c r="O481" i="1"/>
  <c r="P481" i="1"/>
  <c r="Q481" i="1"/>
  <c r="R481" i="1"/>
  <c r="S481" i="1"/>
  <c r="T481" i="1"/>
  <c r="O482" i="1"/>
  <c r="P482" i="1"/>
  <c r="Q482" i="1"/>
  <c r="R482" i="1"/>
  <c r="S482" i="1"/>
  <c r="T482" i="1"/>
  <c r="O483" i="1"/>
  <c r="P483" i="1"/>
  <c r="Q483" i="1"/>
  <c r="R483" i="1"/>
  <c r="S483" i="1"/>
  <c r="T483" i="1"/>
  <c r="O484" i="1"/>
  <c r="P484" i="1"/>
  <c r="Q484" i="1"/>
  <c r="R484" i="1"/>
  <c r="S484" i="1"/>
  <c r="T484" i="1"/>
  <c r="O485" i="1"/>
  <c r="P485" i="1"/>
  <c r="Q485" i="1"/>
  <c r="R485" i="1"/>
  <c r="S485" i="1"/>
  <c r="T485" i="1"/>
  <c r="O486" i="1"/>
  <c r="P486" i="1"/>
  <c r="Q486" i="1"/>
  <c r="R486" i="1"/>
  <c r="S486" i="1"/>
  <c r="T486" i="1"/>
  <c r="O487" i="1"/>
  <c r="P487" i="1"/>
  <c r="Q487" i="1"/>
  <c r="R487" i="1"/>
  <c r="S487" i="1"/>
  <c r="T487" i="1"/>
  <c r="O488" i="1"/>
  <c r="P488" i="1"/>
  <c r="Q488" i="1"/>
  <c r="R488" i="1"/>
  <c r="S488" i="1"/>
  <c r="T488" i="1"/>
  <c r="O489" i="1"/>
  <c r="P489" i="1"/>
  <c r="Q489" i="1"/>
  <c r="R489" i="1"/>
  <c r="S489" i="1"/>
  <c r="T489" i="1"/>
  <c r="O490" i="1"/>
  <c r="P490" i="1"/>
  <c r="Q490" i="1"/>
  <c r="R490" i="1"/>
  <c r="S490" i="1"/>
  <c r="T490" i="1"/>
  <c r="O491" i="1"/>
  <c r="P491" i="1"/>
  <c r="Q491" i="1"/>
  <c r="R491" i="1"/>
  <c r="S491" i="1"/>
  <c r="T491" i="1"/>
  <c r="O492" i="1"/>
  <c r="P492" i="1"/>
  <c r="Q492" i="1"/>
  <c r="R492" i="1"/>
  <c r="S492" i="1"/>
  <c r="T492" i="1"/>
  <c r="O493" i="1"/>
  <c r="P493" i="1"/>
  <c r="Q493" i="1"/>
  <c r="R493" i="1"/>
  <c r="S493" i="1"/>
  <c r="T493" i="1"/>
  <c r="O494" i="1"/>
  <c r="P494" i="1"/>
  <c r="Q494" i="1"/>
  <c r="R494" i="1"/>
  <c r="S494" i="1"/>
  <c r="T494" i="1"/>
  <c r="O495" i="1"/>
  <c r="P495" i="1"/>
  <c r="Q495" i="1"/>
  <c r="R495" i="1"/>
  <c r="S495" i="1"/>
  <c r="T495" i="1"/>
  <c r="O496" i="1"/>
  <c r="P496" i="1"/>
  <c r="Q496" i="1"/>
  <c r="R496" i="1"/>
  <c r="S496" i="1"/>
  <c r="T496" i="1"/>
  <c r="O497" i="1"/>
  <c r="P497" i="1"/>
  <c r="Q497" i="1"/>
  <c r="R497" i="1"/>
  <c r="S497" i="1"/>
  <c r="T497" i="1"/>
  <c r="O498" i="1"/>
  <c r="P498" i="1"/>
  <c r="Q498" i="1"/>
  <c r="R498" i="1"/>
  <c r="S498" i="1"/>
  <c r="T498" i="1"/>
  <c r="O499" i="1"/>
  <c r="P499" i="1"/>
  <c r="Q499" i="1"/>
  <c r="R499" i="1"/>
  <c r="S499" i="1"/>
  <c r="T499" i="1"/>
  <c r="O500" i="1"/>
  <c r="P500" i="1"/>
  <c r="Q500" i="1"/>
  <c r="R500" i="1"/>
  <c r="S500" i="1"/>
  <c r="T500" i="1"/>
  <c r="O501" i="1"/>
  <c r="P501" i="1"/>
  <c r="Q501" i="1"/>
  <c r="R501" i="1"/>
  <c r="S501" i="1"/>
  <c r="T501" i="1"/>
  <c r="O502" i="1"/>
  <c r="P502" i="1"/>
  <c r="Q502" i="1"/>
  <c r="R502" i="1"/>
  <c r="S502" i="1"/>
  <c r="T502" i="1"/>
  <c r="O503" i="1"/>
  <c r="P503" i="1"/>
  <c r="Q503" i="1"/>
  <c r="R503" i="1"/>
  <c r="S503" i="1"/>
  <c r="T503" i="1"/>
  <c r="O504" i="1"/>
  <c r="P504" i="1"/>
  <c r="Q504" i="1"/>
  <c r="R504" i="1"/>
  <c r="S504" i="1"/>
  <c r="T504" i="1"/>
  <c r="O505" i="1"/>
  <c r="P505" i="1"/>
  <c r="Q505" i="1"/>
  <c r="R505" i="1"/>
  <c r="S505" i="1"/>
  <c r="T505" i="1"/>
  <c r="O506" i="1"/>
  <c r="P506" i="1"/>
  <c r="Q506" i="1"/>
  <c r="R506" i="1"/>
  <c r="S506" i="1"/>
  <c r="T506" i="1"/>
  <c r="O507" i="1"/>
  <c r="P507" i="1"/>
  <c r="Q507" i="1"/>
  <c r="R507" i="1"/>
  <c r="S507" i="1"/>
  <c r="T507" i="1"/>
  <c r="O508" i="1"/>
  <c r="P508" i="1"/>
  <c r="Q508" i="1"/>
  <c r="R508" i="1"/>
  <c r="S508" i="1"/>
  <c r="T508" i="1"/>
  <c r="O509" i="1"/>
  <c r="P509" i="1"/>
  <c r="Q509" i="1"/>
  <c r="R509" i="1"/>
  <c r="S509" i="1"/>
  <c r="T509" i="1"/>
  <c r="O510" i="1"/>
  <c r="P510" i="1"/>
  <c r="Q510" i="1"/>
  <c r="R510" i="1"/>
  <c r="S510" i="1"/>
  <c r="T510" i="1"/>
  <c r="O511" i="1"/>
  <c r="P511" i="1"/>
  <c r="Q511" i="1"/>
  <c r="R511" i="1"/>
  <c r="S511" i="1"/>
  <c r="T511" i="1"/>
  <c r="O512" i="1"/>
  <c r="P512" i="1"/>
  <c r="Q512" i="1"/>
  <c r="R512" i="1"/>
  <c r="S512" i="1"/>
  <c r="T512" i="1"/>
  <c r="O513" i="1"/>
  <c r="P513" i="1"/>
  <c r="Q513" i="1"/>
  <c r="R513" i="1"/>
  <c r="S513" i="1"/>
  <c r="T513" i="1"/>
  <c r="O514" i="1"/>
  <c r="P514" i="1"/>
  <c r="Q514" i="1"/>
  <c r="R514" i="1"/>
  <c r="S514" i="1"/>
  <c r="T514" i="1"/>
  <c r="O515" i="1"/>
  <c r="P515" i="1"/>
  <c r="Q515" i="1"/>
  <c r="R515" i="1"/>
  <c r="S515" i="1"/>
  <c r="T515" i="1"/>
  <c r="O516" i="1"/>
  <c r="P516" i="1"/>
  <c r="Q516" i="1"/>
  <c r="R516" i="1"/>
  <c r="S516" i="1"/>
  <c r="T516" i="1"/>
  <c r="O517" i="1"/>
  <c r="P517" i="1"/>
  <c r="Q517" i="1"/>
  <c r="R517" i="1"/>
  <c r="S517" i="1"/>
  <c r="T517" i="1"/>
  <c r="O518" i="1"/>
  <c r="P518" i="1"/>
  <c r="Q518" i="1"/>
  <c r="R518" i="1"/>
  <c r="S518" i="1"/>
  <c r="T518" i="1"/>
  <c r="O519" i="1"/>
  <c r="P519" i="1"/>
  <c r="Q519" i="1"/>
  <c r="R519" i="1"/>
  <c r="S519" i="1"/>
  <c r="T519" i="1"/>
  <c r="O520" i="1"/>
  <c r="P520" i="1"/>
  <c r="Q520" i="1"/>
  <c r="R520" i="1"/>
  <c r="S520" i="1"/>
  <c r="T520" i="1"/>
  <c r="O521" i="1"/>
  <c r="P521" i="1"/>
  <c r="Q521" i="1"/>
  <c r="R521" i="1"/>
  <c r="S521" i="1"/>
  <c r="T521" i="1"/>
  <c r="O522" i="1"/>
  <c r="P522" i="1"/>
  <c r="Q522" i="1"/>
  <c r="R522" i="1"/>
  <c r="S522" i="1"/>
  <c r="T522" i="1"/>
  <c r="O523" i="1"/>
  <c r="P523" i="1"/>
  <c r="Q523" i="1"/>
  <c r="R523" i="1"/>
  <c r="S523" i="1"/>
  <c r="T523" i="1"/>
  <c r="O524" i="1"/>
  <c r="P524" i="1"/>
  <c r="Q524" i="1"/>
  <c r="R524" i="1"/>
  <c r="S524" i="1"/>
  <c r="T524" i="1"/>
  <c r="O525" i="1"/>
  <c r="P525" i="1"/>
  <c r="Q525" i="1"/>
  <c r="R525" i="1"/>
  <c r="S525" i="1"/>
  <c r="T525" i="1"/>
  <c r="O526" i="1"/>
  <c r="P526" i="1"/>
  <c r="Q526" i="1"/>
  <c r="R526" i="1"/>
  <c r="S526" i="1"/>
  <c r="T526" i="1"/>
  <c r="O527" i="1"/>
  <c r="P527" i="1"/>
  <c r="Q527" i="1"/>
  <c r="R527" i="1"/>
  <c r="S527" i="1"/>
  <c r="T527" i="1"/>
  <c r="O528" i="1"/>
  <c r="P528" i="1"/>
  <c r="Q528" i="1"/>
  <c r="R528" i="1"/>
  <c r="S528" i="1"/>
  <c r="T528" i="1"/>
  <c r="O529" i="1"/>
  <c r="P529" i="1"/>
  <c r="Q529" i="1"/>
  <c r="R529" i="1"/>
  <c r="S529" i="1"/>
  <c r="T529" i="1"/>
  <c r="O530" i="1"/>
  <c r="P530" i="1"/>
  <c r="Q530" i="1"/>
  <c r="R530" i="1"/>
  <c r="S530" i="1"/>
  <c r="T530" i="1"/>
  <c r="O531" i="1"/>
  <c r="P531" i="1"/>
  <c r="Q531" i="1"/>
  <c r="R531" i="1"/>
  <c r="S531" i="1"/>
  <c r="T531" i="1"/>
  <c r="O532" i="1"/>
  <c r="P532" i="1"/>
  <c r="Q532" i="1"/>
  <c r="R532" i="1"/>
  <c r="S532" i="1"/>
  <c r="T532" i="1"/>
  <c r="O533" i="1"/>
  <c r="P533" i="1"/>
  <c r="Q533" i="1"/>
  <c r="R533" i="1"/>
  <c r="S533" i="1"/>
  <c r="T533" i="1"/>
  <c r="O534" i="1"/>
  <c r="P534" i="1"/>
  <c r="Q534" i="1"/>
  <c r="R534" i="1"/>
  <c r="S534" i="1"/>
  <c r="T534" i="1"/>
  <c r="O535" i="1"/>
  <c r="P535" i="1"/>
  <c r="Q535" i="1"/>
  <c r="R535" i="1"/>
  <c r="S535" i="1"/>
  <c r="T535" i="1"/>
  <c r="O536" i="1"/>
  <c r="P536" i="1"/>
  <c r="Q536" i="1"/>
  <c r="R536" i="1"/>
  <c r="S536" i="1"/>
  <c r="T536" i="1"/>
  <c r="O537" i="1"/>
  <c r="P537" i="1"/>
  <c r="Q537" i="1"/>
  <c r="R537" i="1"/>
  <c r="S537" i="1"/>
  <c r="T537" i="1"/>
  <c r="O538" i="1"/>
  <c r="P538" i="1"/>
  <c r="Q538" i="1"/>
  <c r="R538" i="1"/>
  <c r="S538" i="1"/>
  <c r="T538" i="1"/>
  <c r="O539" i="1"/>
  <c r="P539" i="1"/>
  <c r="Q539" i="1"/>
  <c r="R539" i="1"/>
  <c r="S539" i="1"/>
  <c r="T539" i="1"/>
  <c r="O540" i="1"/>
  <c r="P540" i="1"/>
  <c r="Q540" i="1"/>
  <c r="R540" i="1"/>
  <c r="S540" i="1"/>
  <c r="T540" i="1"/>
  <c r="O541" i="1"/>
  <c r="P541" i="1"/>
  <c r="Q541" i="1"/>
  <c r="R541" i="1"/>
  <c r="S541" i="1"/>
  <c r="T541" i="1"/>
  <c r="O542" i="1"/>
  <c r="P542" i="1"/>
  <c r="Q542" i="1"/>
  <c r="R542" i="1"/>
  <c r="S542" i="1"/>
  <c r="T542" i="1"/>
  <c r="O543" i="1"/>
  <c r="P543" i="1"/>
  <c r="Q543" i="1"/>
  <c r="R543" i="1"/>
  <c r="S543" i="1"/>
  <c r="T543" i="1"/>
  <c r="O544" i="1"/>
  <c r="P544" i="1"/>
  <c r="Q544" i="1"/>
  <c r="R544" i="1"/>
  <c r="S544" i="1"/>
  <c r="T544" i="1"/>
  <c r="O545" i="1"/>
  <c r="P545" i="1"/>
  <c r="Q545" i="1"/>
  <c r="R545" i="1"/>
  <c r="S545" i="1"/>
  <c r="T545" i="1"/>
  <c r="O546" i="1"/>
  <c r="P546" i="1"/>
  <c r="Q546" i="1"/>
  <c r="R546" i="1"/>
  <c r="S546" i="1"/>
  <c r="T546" i="1"/>
  <c r="O547" i="1"/>
  <c r="P547" i="1"/>
  <c r="Q547" i="1"/>
  <c r="R547" i="1"/>
  <c r="S547" i="1"/>
  <c r="T547" i="1"/>
  <c r="O548" i="1"/>
  <c r="P548" i="1"/>
  <c r="Q548" i="1"/>
  <c r="R548" i="1"/>
  <c r="S548" i="1"/>
  <c r="T548" i="1"/>
  <c r="O549" i="1"/>
  <c r="P549" i="1"/>
  <c r="Q549" i="1"/>
  <c r="R549" i="1"/>
  <c r="S549" i="1"/>
  <c r="T549" i="1"/>
  <c r="O550" i="1"/>
  <c r="P550" i="1"/>
  <c r="Q550" i="1"/>
  <c r="R550" i="1"/>
  <c r="S550" i="1"/>
  <c r="T550" i="1"/>
  <c r="O551" i="1"/>
  <c r="P551" i="1"/>
  <c r="Q551" i="1"/>
  <c r="R551" i="1"/>
  <c r="S551" i="1"/>
  <c r="T551" i="1"/>
  <c r="O552" i="1"/>
  <c r="P552" i="1"/>
  <c r="Q552" i="1"/>
  <c r="R552" i="1"/>
  <c r="S552" i="1"/>
  <c r="T552" i="1"/>
  <c r="O553" i="1"/>
  <c r="P553" i="1"/>
  <c r="Q553" i="1"/>
  <c r="R553" i="1"/>
  <c r="S553" i="1"/>
  <c r="T553" i="1"/>
  <c r="O554" i="1"/>
  <c r="P554" i="1"/>
  <c r="Q554" i="1"/>
  <c r="R554" i="1"/>
  <c r="S554" i="1"/>
  <c r="T554" i="1"/>
  <c r="O555" i="1"/>
  <c r="P555" i="1"/>
  <c r="Q555" i="1"/>
  <c r="R555" i="1"/>
  <c r="S555" i="1"/>
  <c r="T555" i="1"/>
  <c r="O556" i="1"/>
  <c r="P556" i="1"/>
  <c r="Q556" i="1"/>
  <c r="R556" i="1"/>
  <c r="S556" i="1"/>
  <c r="T556" i="1"/>
  <c r="O557" i="1"/>
  <c r="P557" i="1"/>
  <c r="Q557" i="1"/>
  <c r="R557" i="1"/>
  <c r="S557" i="1"/>
  <c r="T557" i="1"/>
  <c r="O558" i="1"/>
  <c r="P558" i="1"/>
  <c r="Q558" i="1"/>
  <c r="R558" i="1"/>
  <c r="S558" i="1"/>
  <c r="T558" i="1"/>
  <c r="O559" i="1"/>
  <c r="P559" i="1"/>
  <c r="Q559" i="1"/>
  <c r="R559" i="1"/>
  <c r="S559" i="1"/>
  <c r="T559" i="1"/>
  <c r="O560" i="1"/>
  <c r="P560" i="1"/>
  <c r="Q560" i="1"/>
  <c r="R560" i="1"/>
  <c r="S560" i="1"/>
  <c r="T560" i="1"/>
  <c r="O561" i="1"/>
  <c r="P561" i="1"/>
  <c r="Q561" i="1"/>
  <c r="R561" i="1"/>
  <c r="S561" i="1"/>
  <c r="T561" i="1"/>
  <c r="O562" i="1"/>
  <c r="P562" i="1"/>
  <c r="Q562" i="1"/>
  <c r="R562" i="1"/>
  <c r="S562" i="1"/>
  <c r="T562" i="1"/>
  <c r="O563" i="1"/>
  <c r="P563" i="1"/>
  <c r="Q563" i="1"/>
  <c r="R563" i="1"/>
  <c r="S563" i="1"/>
  <c r="T563" i="1"/>
  <c r="O564" i="1"/>
  <c r="P564" i="1"/>
  <c r="Q564" i="1"/>
  <c r="R564" i="1"/>
  <c r="S564" i="1"/>
  <c r="T564" i="1"/>
  <c r="O565" i="1"/>
  <c r="P565" i="1"/>
  <c r="Q565" i="1"/>
  <c r="R565" i="1"/>
  <c r="S565" i="1"/>
  <c r="T565" i="1"/>
  <c r="O566" i="1"/>
  <c r="P566" i="1"/>
  <c r="Q566" i="1"/>
  <c r="R566" i="1"/>
  <c r="S566" i="1"/>
  <c r="T566" i="1"/>
  <c r="O567" i="1"/>
  <c r="P567" i="1"/>
  <c r="Q567" i="1"/>
  <c r="R567" i="1"/>
  <c r="S567" i="1"/>
  <c r="T567" i="1"/>
  <c r="O568" i="1"/>
  <c r="P568" i="1"/>
  <c r="Q568" i="1"/>
  <c r="R568" i="1"/>
  <c r="S568" i="1"/>
  <c r="T568" i="1"/>
  <c r="O569" i="1"/>
  <c r="P569" i="1"/>
  <c r="Q569" i="1"/>
  <c r="R569" i="1"/>
  <c r="S569" i="1"/>
  <c r="T569" i="1"/>
  <c r="O570" i="1"/>
  <c r="P570" i="1"/>
  <c r="Q570" i="1"/>
  <c r="R570" i="1"/>
  <c r="S570" i="1"/>
  <c r="T570" i="1"/>
  <c r="O571" i="1"/>
  <c r="P571" i="1"/>
  <c r="Q571" i="1"/>
  <c r="R571" i="1"/>
  <c r="S571" i="1"/>
  <c r="T571" i="1"/>
  <c r="O572" i="1"/>
  <c r="P572" i="1"/>
  <c r="Q572" i="1"/>
  <c r="R572" i="1"/>
  <c r="S572" i="1"/>
  <c r="T572" i="1"/>
  <c r="O573" i="1"/>
  <c r="P573" i="1"/>
  <c r="Q573" i="1"/>
  <c r="R573" i="1"/>
  <c r="S573" i="1"/>
  <c r="T573" i="1"/>
  <c r="O574" i="1"/>
  <c r="P574" i="1"/>
  <c r="Q574" i="1"/>
  <c r="R574" i="1"/>
  <c r="S574" i="1"/>
  <c r="T574" i="1"/>
  <c r="O575" i="1"/>
  <c r="P575" i="1"/>
  <c r="Q575" i="1"/>
  <c r="R575" i="1"/>
  <c r="S575" i="1"/>
  <c r="T575" i="1"/>
  <c r="O576" i="1"/>
  <c r="P576" i="1"/>
  <c r="Q576" i="1"/>
  <c r="R576" i="1"/>
  <c r="S576" i="1"/>
  <c r="T576" i="1"/>
  <c r="O577" i="1"/>
  <c r="P577" i="1"/>
  <c r="Q577" i="1"/>
  <c r="R577" i="1"/>
  <c r="S577" i="1"/>
  <c r="T577" i="1"/>
  <c r="O578" i="1"/>
  <c r="P578" i="1"/>
  <c r="Q578" i="1"/>
  <c r="R578" i="1"/>
  <c r="S578" i="1"/>
  <c r="T578" i="1"/>
  <c r="O579" i="1"/>
  <c r="P579" i="1"/>
  <c r="Q579" i="1"/>
  <c r="R579" i="1"/>
  <c r="S579" i="1"/>
  <c r="T579" i="1"/>
  <c r="O580" i="1"/>
  <c r="P580" i="1"/>
  <c r="Q580" i="1"/>
  <c r="R580" i="1"/>
  <c r="S580" i="1"/>
  <c r="T580" i="1"/>
  <c r="O581" i="1"/>
  <c r="P581" i="1"/>
  <c r="Q581" i="1"/>
  <c r="R581" i="1"/>
  <c r="S581" i="1"/>
  <c r="T581" i="1"/>
  <c r="O582" i="1"/>
  <c r="P582" i="1"/>
  <c r="Q582" i="1"/>
  <c r="R582" i="1"/>
  <c r="S582" i="1"/>
  <c r="T582" i="1"/>
  <c r="O583" i="1"/>
  <c r="P583" i="1"/>
  <c r="Q583" i="1"/>
  <c r="R583" i="1"/>
  <c r="S583" i="1"/>
  <c r="T583" i="1"/>
  <c r="O584" i="1"/>
  <c r="P584" i="1"/>
  <c r="Q584" i="1"/>
  <c r="R584" i="1"/>
  <c r="S584" i="1"/>
  <c r="T584" i="1"/>
  <c r="O585" i="1"/>
  <c r="P585" i="1"/>
  <c r="Q585" i="1"/>
  <c r="R585" i="1"/>
  <c r="S585" i="1"/>
  <c r="T585" i="1"/>
  <c r="O586" i="1"/>
  <c r="P586" i="1"/>
  <c r="Q586" i="1"/>
  <c r="R586" i="1"/>
  <c r="S586" i="1"/>
  <c r="T586" i="1"/>
  <c r="O587" i="1"/>
  <c r="P587" i="1"/>
  <c r="Q587" i="1"/>
  <c r="R587" i="1"/>
  <c r="S587" i="1"/>
  <c r="T587" i="1"/>
  <c r="O588" i="1"/>
  <c r="P588" i="1"/>
  <c r="Q588" i="1"/>
  <c r="R588" i="1"/>
  <c r="S588" i="1"/>
  <c r="T588" i="1"/>
  <c r="O589" i="1"/>
  <c r="P589" i="1"/>
  <c r="Q589" i="1"/>
  <c r="R589" i="1"/>
  <c r="S589" i="1"/>
  <c r="T589" i="1"/>
  <c r="O590" i="1"/>
  <c r="P590" i="1"/>
  <c r="Q590" i="1"/>
  <c r="R590" i="1"/>
  <c r="S590" i="1"/>
  <c r="T590" i="1"/>
  <c r="O591" i="1"/>
  <c r="P591" i="1"/>
  <c r="Q591" i="1"/>
  <c r="R591" i="1"/>
  <c r="S591" i="1"/>
  <c r="T591" i="1"/>
  <c r="O592" i="1"/>
  <c r="P592" i="1"/>
  <c r="Q592" i="1"/>
  <c r="R592" i="1"/>
  <c r="S592" i="1"/>
  <c r="T592" i="1"/>
  <c r="O593" i="1"/>
  <c r="P593" i="1"/>
  <c r="Q593" i="1"/>
  <c r="R593" i="1"/>
  <c r="S593" i="1"/>
  <c r="T593" i="1"/>
  <c r="O594" i="1"/>
  <c r="P594" i="1"/>
  <c r="Q594" i="1"/>
  <c r="R594" i="1"/>
  <c r="S594" i="1"/>
  <c r="T594" i="1"/>
  <c r="O595" i="1"/>
  <c r="P595" i="1"/>
  <c r="Q595" i="1"/>
  <c r="R595" i="1"/>
  <c r="S595" i="1"/>
  <c r="T595" i="1"/>
  <c r="O596" i="1"/>
  <c r="P596" i="1"/>
  <c r="Q596" i="1"/>
  <c r="R596" i="1"/>
  <c r="S596" i="1"/>
  <c r="T596" i="1"/>
  <c r="O597" i="1"/>
  <c r="P597" i="1"/>
  <c r="Q597" i="1"/>
  <c r="R597" i="1"/>
  <c r="S597" i="1"/>
  <c r="T597" i="1"/>
  <c r="O598" i="1"/>
  <c r="P598" i="1"/>
  <c r="Q598" i="1"/>
  <c r="R598" i="1"/>
  <c r="S598" i="1"/>
  <c r="T598" i="1"/>
  <c r="O599" i="1"/>
  <c r="P599" i="1"/>
  <c r="Q599" i="1"/>
  <c r="R599" i="1"/>
  <c r="S599" i="1"/>
  <c r="T599" i="1"/>
  <c r="O600" i="1"/>
  <c r="P600" i="1"/>
  <c r="Q600" i="1"/>
  <c r="R600" i="1"/>
  <c r="S600" i="1"/>
  <c r="T600" i="1"/>
  <c r="O601" i="1"/>
  <c r="P601" i="1"/>
  <c r="Q601" i="1"/>
  <c r="R601" i="1"/>
  <c r="S601" i="1"/>
  <c r="T601" i="1"/>
  <c r="O602" i="1"/>
  <c r="P602" i="1"/>
  <c r="Q602" i="1"/>
  <c r="R602" i="1"/>
  <c r="S602" i="1"/>
  <c r="T602" i="1"/>
  <c r="O603" i="1"/>
  <c r="P603" i="1"/>
  <c r="Q603" i="1"/>
  <c r="R603" i="1"/>
  <c r="S603" i="1"/>
  <c r="T603" i="1"/>
  <c r="O604" i="1"/>
  <c r="P604" i="1"/>
  <c r="Q604" i="1"/>
  <c r="R604" i="1"/>
  <c r="S604" i="1"/>
  <c r="T604" i="1"/>
  <c r="O605" i="1"/>
  <c r="P605" i="1"/>
  <c r="Q605" i="1"/>
  <c r="R605" i="1"/>
  <c r="S605" i="1"/>
  <c r="T605" i="1"/>
  <c r="O606" i="1"/>
  <c r="P606" i="1"/>
  <c r="Q606" i="1"/>
  <c r="R606" i="1"/>
  <c r="S606" i="1"/>
  <c r="T606" i="1"/>
  <c r="O607" i="1"/>
  <c r="P607" i="1"/>
  <c r="Q607" i="1"/>
  <c r="R607" i="1"/>
  <c r="S607" i="1"/>
  <c r="T607" i="1"/>
  <c r="O608" i="1"/>
  <c r="P608" i="1"/>
  <c r="Q608" i="1"/>
  <c r="R608" i="1"/>
  <c r="S608" i="1"/>
  <c r="T608" i="1"/>
  <c r="O609" i="1"/>
  <c r="P609" i="1"/>
  <c r="Q609" i="1"/>
  <c r="R609" i="1"/>
  <c r="S609" i="1"/>
  <c r="T609" i="1"/>
  <c r="O610" i="1"/>
  <c r="P610" i="1"/>
  <c r="Q610" i="1"/>
  <c r="R610" i="1"/>
  <c r="S610" i="1"/>
  <c r="T610" i="1"/>
  <c r="O611" i="1"/>
  <c r="P611" i="1"/>
  <c r="Q611" i="1"/>
  <c r="R611" i="1"/>
  <c r="S611" i="1"/>
  <c r="T611" i="1"/>
  <c r="C601" i="1"/>
  <c r="D601" i="1"/>
  <c r="J601" i="1"/>
  <c r="M601" i="1"/>
  <c r="C602" i="1"/>
  <c r="D602" i="1"/>
  <c r="J602" i="1"/>
  <c r="M602" i="1"/>
  <c r="C603" i="1"/>
  <c r="D603" i="1"/>
  <c r="J603" i="1"/>
  <c r="M603" i="1"/>
  <c r="C604" i="1"/>
  <c r="D604" i="1"/>
  <c r="J604" i="1"/>
  <c r="M604" i="1"/>
  <c r="C605" i="1"/>
  <c r="D605" i="1"/>
  <c r="J605" i="1"/>
  <c r="M605" i="1"/>
  <c r="C606" i="1"/>
  <c r="D606" i="1"/>
  <c r="J606" i="1"/>
  <c r="M606" i="1"/>
  <c r="C607" i="1"/>
  <c r="D607" i="1"/>
  <c r="J607" i="1"/>
  <c r="M607" i="1"/>
  <c r="C608" i="1"/>
  <c r="D608" i="1"/>
  <c r="J608" i="1"/>
  <c r="M608" i="1"/>
  <c r="C609" i="1"/>
  <c r="D609" i="1"/>
  <c r="J609" i="1"/>
  <c r="M609" i="1"/>
  <c r="C610" i="1"/>
  <c r="D610" i="1"/>
  <c r="J610" i="1"/>
  <c r="M610" i="1"/>
  <c r="C611" i="1"/>
  <c r="D611" i="1"/>
  <c r="J611" i="1"/>
  <c r="M61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N617" i="1"/>
  <c r="N615" i="1"/>
  <c r="N61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2" i="1"/>
</calcChain>
</file>

<file path=xl/sharedStrings.xml><?xml version="1.0" encoding="utf-8"?>
<sst xmlns="http://schemas.openxmlformats.org/spreadsheetml/2006/main" count="57" uniqueCount="49">
  <si>
    <t>HOLIDAY</t>
  </si>
  <si>
    <t>HOLIDAY2</t>
  </si>
  <si>
    <t>INSTANT</t>
  </si>
  <si>
    <t>DATE</t>
  </si>
  <si>
    <t>SEASON</t>
  </si>
  <si>
    <t>YEAR</t>
  </si>
  <si>
    <t>MONTH</t>
  </si>
  <si>
    <t>HOUR</t>
  </si>
  <si>
    <t>WEEKDAY</t>
  </si>
  <si>
    <t>WEATHER</t>
  </si>
  <si>
    <t>TEMPERATURE</t>
  </si>
  <si>
    <t>Grand Total</t>
  </si>
  <si>
    <t>Sum of TEMPERATURE</t>
  </si>
  <si>
    <t>Weather</t>
  </si>
  <si>
    <t>Weekday</t>
  </si>
  <si>
    <t>High temperatures at the beginning of January</t>
  </si>
  <si>
    <r>
      <t xml:space="preserve">✔ </t>
    </r>
    <r>
      <rPr>
        <b/>
        <sz val="10"/>
        <color rgb="FF000000"/>
        <rFont val="Arial"/>
        <family val="2"/>
        <scheme val="minor"/>
      </rPr>
      <t>Gradual cooling in mid-January</t>
    </r>
  </si>
  <si>
    <r>
      <t xml:space="preserve">✔ </t>
    </r>
    <r>
      <rPr>
        <b/>
        <sz val="10"/>
        <color rgb="FF000000"/>
        <rFont val="Arial"/>
        <family val="2"/>
        <scheme val="minor"/>
      </rPr>
      <t>Sharp temperature dip around 21–22 Jan</t>
    </r>
  </si>
  <si>
    <r>
      <t xml:space="preserve">✔ </t>
    </r>
    <r>
      <rPr>
        <b/>
        <sz val="10"/>
        <color rgb="FF000000"/>
        <rFont val="Arial"/>
        <family val="2"/>
        <scheme val="minor"/>
      </rPr>
      <t>Temperature recovery after 23 Jan</t>
    </r>
  </si>
  <si>
    <r>
      <t xml:space="preserve">📉 Lowest temperature period → </t>
    </r>
    <r>
      <rPr>
        <b/>
        <sz val="10"/>
        <color rgb="FF000000"/>
        <rFont val="Arial"/>
        <family val="2"/>
        <scheme val="minor"/>
      </rPr>
      <t>Late January</t>
    </r>
  </si>
  <si>
    <r>
      <t xml:space="preserve">📈 Highest temperature → </t>
    </r>
    <r>
      <rPr>
        <b/>
        <sz val="10"/>
        <color rgb="FF000000"/>
        <rFont val="Arial"/>
        <family val="2"/>
        <scheme val="minor"/>
      </rPr>
      <t>Early January</t>
    </r>
  </si>
  <si>
    <r>
      <t xml:space="preserve">✔ Temperature is </t>
    </r>
    <r>
      <rPr>
        <b/>
        <sz val="10"/>
        <color rgb="FF000000"/>
        <rFont val="Arial"/>
        <family val="2"/>
        <scheme val="minor"/>
      </rPr>
      <t>lowest early morning</t>
    </r>
  </si>
  <si>
    <r>
      <t xml:space="preserve">✔ Peaks during </t>
    </r>
    <r>
      <rPr>
        <b/>
        <sz val="10"/>
        <color rgb="FF000000"/>
        <rFont val="Arial"/>
        <family val="2"/>
        <scheme val="minor"/>
      </rPr>
      <t>mid-day / afternoon</t>
    </r>
  </si>
  <si>
    <t>No major weekday variation</t>
  </si>
  <si>
    <t>✔ Weather impact more important than day type</t>
  </si>
  <si>
    <t>✔ Clear weather → Higher temperature</t>
  </si>
  <si>
    <t>✔ Mist / Snow → Lower temperature</t>
  </si>
  <si>
    <r>
      <t xml:space="preserve">Temperature follows a </t>
    </r>
    <r>
      <rPr>
        <b/>
        <sz val="10"/>
        <color rgb="FF000000"/>
        <rFont val="Arial"/>
        <family val="2"/>
        <scheme val="minor"/>
      </rPr>
      <t>clear seasonal cooling trend</t>
    </r>
  </si>
  <si>
    <t>Weather condition strongly impacts temperature</t>
  </si>
  <si>
    <r>
      <t xml:space="preserve">Hourly data must be </t>
    </r>
    <r>
      <rPr>
        <b/>
        <sz val="10"/>
        <color rgb="FF000000"/>
        <rFont val="Arial"/>
        <family val="2"/>
        <scheme val="minor"/>
      </rPr>
      <t>aggregated</t>
    </r>
    <r>
      <rPr>
        <sz val="10"/>
        <color rgb="FF000000"/>
        <rFont val="Arial"/>
        <family val="2"/>
        <scheme val="minor"/>
      </rPr>
      <t xml:space="preserve"> to see real trends</t>
    </r>
  </si>
  <si>
    <r>
      <t xml:space="preserve">Pivot tables are the </t>
    </r>
    <r>
      <rPr>
        <b/>
        <sz val="10"/>
        <color rgb="FF000000"/>
        <rFont val="Arial"/>
        <family val="2"/>
        <scheme val="minor"/>
      </rPr>
      <t>best tool for trend analysis</t>
    </r>
  </si>
  <si>
    <t>Final Insights</t>
  </si>
  <si>
    <t>1. clear weather</t>
  </si>
  <si>
    <t>2. misty/cloudy</t>
  </si>
  <si>
    <t>3.lightrain/light snow</t>
  </si>
  <si>
    <t>4. heavy rain/.heavy snow</t>
  </si>
  <si>
    <t>SUM</t>
  </si>
  <si>
    <t>AVERAGE</t>
  </si>
  <si>
    <t>COUNT</t>
  </si>
  <si>
    <t>DAY</t>
  </si>
  <si>
    <t>YEAR2</t>
  </si>
  <si>
    <t>LEN</t>
  </si>
  <si>
    <t>“I used basic Excel formulas like SUM, AVERAGE, and COUNT for numeric analysis, and TEXT functions such as LEFT, RIGHT, and LEN to extract and validate date-related information from the dataset.”</t>
  </si>
  <si>
    <t>WINDSPEED</t>
  </si>
  <si>
    <t>APPARENT TEMPERATURE</t>
  </si>
  <si>
    <t>HUMIDITY</t>
  </si>
  <si>
    <t>CASUAL USERS</t>
  </si>
  <si>
    <t>REGISTERED USERS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</si>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</sst>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0" xfId="0" pivotButton="1"/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2" fillId="0" borderId="0" xfId="0" applyFont="1"/>
    <xf numFmtId="0" fontId="5" fillId="0" borderId="0" xfId="0" applyFont="1"/>
    <xf numFmtId="4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1" fillId="2" borderId="3" xfId="0" applyFont="1" applyFill="1" applyBorder="1"/>
    <xf numFmtId="4" fontId="1" fillId="2" borderId="3" xfId="0" applyNumberFormat="1" applyFont="1" applyFill="1" applyBorder="1"/>
    <xf numFmtId="4" fontId="3" fillId="2" borderId="3" xfId="0" applyNumberFormat="1" applyFont="1" applyFill="1" applyBorder="1"/>
    <xf numFmtId="4" fontId="1" fillId="2" borderId="4" xfId="0" applyNumberFormat="1" applyFont="1" applyFill="1" applyBorder="1"/>
    <xf numFmtId="3" fontId="1" fillId="2" borderId="3" xfId="0" applyNumberFormat="1" applyFont="1" applyFill="1" applyBorder="1"/>
    <xf numFmtId="3" fontId="1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1" fillId="2" borderId="4" xfId="0" applyNumberFormat="1" applyFont="1" applyFill="1" applyBorder="1" applyAlignment="1">
      <alignment horizontal="center"/>
    </xf>
    <xf numFmtId="0" fontId="1" fillId="2" borderId="3" xfId="0" applyFont="1" applyFill="1" applyBorder="1" applyAlignment="1"/>
    <xf numFmtId="14" fontId="1" fillId="2" borderId="3" xfId="0" applyNumberFormat="1" applyFont="1" applyFill="1" applyBorder="1"/>
    <xf numFmtId="14" fontId="1" fillId="0" borderId="1" xfId="0" applyNumberFormat="1" applyFont="1" applyBorder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" fontId="1" fillId="2" borderId="2" xfId="0" applyNumberFormat="1" applyFont="1" applyFill="1" applyBorder="1"/>
    <xf numFmtId="1" fontId="0" fillId="0" borderId="0" xfId="0" applyNumberFormat="1" applyAlignment="1">
      <alignment horizontal="center" vertical="center"/>
    </xf>
    <xf numFmtId="1" fontId="2" fillId="0" borderId="0" xfId="0" applyNumberFormat="1" applyFont="1"/>
    <xf numFmtId="2" fontId="1" fillId="2" borderId="3" xfId="0" applyNumberFormat="1" applyFont="1" applyFill="1" applyBorder="1" applyAlignment="1"/>
    <xf numFmtId="4" fontId="1" fillId="2" borderId="3" xfId="0" applyNumberFormat="1" applyFont="1" applyFill="1" applyBorder="1" applyAlignment="1"/>
    <xf numFmtId="1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\-mm\-yyyy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\-mm\-yyyy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dd/mm/yy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[Nexthikes data sheet 1.xlsx]Daily Average Temperature!PivotTable7</c:name>
    <c:fmtId val="0"/>
  </c:pivotSource>
  <c:chart>
    <c:title>
      <c:layout>
        <c:manualLayout>
          <c:xMode val="edge"/>
          <c:yMode val="edge"/>
          <c:x val="0.42260434715855516"/>
          <c:y val="1.881467544684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Average Temperature'!$B$3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Average Temperature'!$A$4:$A$32</c:f>
              <c:strCache>
                <c:ptCount val="28"/>
                <c:pt idx="0">
                  <c:v>01-01-2011</c:v>
                </c:pt>
                <c:pt idx="1">
                  <c:v>02-01-2011</c:v>
                </c:pt>
                <c:pt idx="2">
                  <c:v>03-01-2011</c:v>
                </c:pt>
                <c:pt idx="3">
                  <c:v>04-01-2011</c:v>
                </c:pt>
                <c:pt idx="4">
                  <c:v>05-01-2011</c:v>
                </c:pt>
                <c:pt idx="5">
                  <c:v>06-01-2011</c:v>
                </c:pt>
                <c:pt idx="6">
                  <c:v>07-01-2011</c:v>
                </c:pt>
                <c:pt idx="7">
                  <c:v>08-01-2011</c:v>
                </c:pt>
                <c:pt idx="8">
                  <c:v>09-01-2011</c:v>
                </c:pt>
                <c:pt idx="9">
                  <c:v>10-01-2011</c:v>
                </c:pt>
                <c:pt idx="10">
                  <c:v>11-01-2011</c:v>
                </c:pt>
                <c:pt idx="11">
                  <c:v>12-01-2011</c:v>
                </c:pt>
                <c:pt idx="12">
                  <c:v>13-01-2011</c:v>
                </c:pt>
                <c:pt idx="13">
                  <c:v>14-01-2011</c:v>
                </c:pt>
                <c:pt idx="14">
                  <c:v>15-01-2011</c:v>
                </c:pt>
                <c:pt idx="15">
                  <c:v>16-01-2011</c:v>
                </c:pt>
                <c:pt idx="16">
                  <c:v>17-01-2011</c:v>
                </c:pt>
                <c:pt idx="17">
                  <c:v>18-01-2011</c:v>
                </c:pt>
                <c:pt idx="18">
                  <c:v>19-01-2011</c:v>
                </c:pt>
                <c:pt idx="19">
                  <c:v>20-01-2011</c:v>
                </c:pt>
                <c:pt idx="20">
                  <c:v>21-01-2011</c:v>
                </c:pt>
                <c:pt idx="21">
                  <c:v>22-01-2011</c:v>
                </c:pt>
                <c:pt idx="22">
                  <c:v>23-01-2011</c:v>
                </c:pt>
                <c:pt idx="23">
                  <c:v>24-01-2011</c:v>
                </c:pt>
                <c:pt idx="24">
                  <c:v>25-01-2011</c:v>
                </c:pt>
                <c:pt idx="25">
                  <c:v>26-01-2011</c:v>
                </c:pt>
                <c:pt idx="26">
                  <c:v>27-01-2011</c:v>
                </c:pt>
                <c:pt idx="27">
                  <c:v>28-01-2011</c:v>
                </c:pt>
              </c:strCache>
            </c:strRef>
          </c:cat>
          <c:val>
            <c:numRef>
              <c:f>'Daily Average Temperature'!$B$4:$B$32</c:f>
              <c:numCache>
                <c:formatCode>#,##0.00</c:formatCode>
                <c:ptCount val="28"/>
                <c:pt idx="0">
                  <c:v>8.2600000000000016</c:v>
                </c:pt>
                <c:pt idx="1">
                  <c:v>8.3600000000000012</c:v>
                </c:pt>
                <c:pt idx="2">
                  <c:v>4.3199999999999994</c:v>
                </c:pt>
                <c:pt idx="3">
                  <c:v>4.5999999999999996</c:v>
                </c:pt>
                <c:pt idx="4">
                  <c:v>5.22</c:v>
                </c:pt>
                <c:pt idx="5">
                  <c:v>4.7</c:v>
                </c:pt>
                <c:pt idx="6">
                  <c:v>4.5200000000000014</c:v>
                </c:pt>
                <c:pt idx="7">
                  <c:v>3.9600000000000013</c:v>
                </c:pt>
                <c:pt idx="8">
                  <c:v>3.3200000000000012</c:v>
                </c:pt>
                <c:pt idx="9">
                  <c:v>3.6200000000000014</c:v>
                </c:pt>
                <c:pt idx="10">
                  <c:v>3.7200000000000015</c:v>
                </c:pt>
                <c:pt idx="11">
                  <c:v>3.8000000000000012</c:v>
                </c:pt>
                <c:pt idx="12">
                  <c:v>3.9600000000000017</c:v>
                </c:pt>
                <c:pt idx="13">
                  <c:v>3.7000000000000011</c:v>
                </c:pt>
                <c:pt idx="14">
                  <c:v>5.6</c:v>
                </c:pt>
                <c:pt idx="15">
                  <c:v>5.5600000000000005</c:v>
                </c:pt>
                <c:pt idx="16">
                  <c:v>4.2200000000000015</c:v>
                </c:pt>
                <c:pt idx="17">
                  <c:v>2.6000000000000005</c:v>
                </c:pt>
                <c:pt idx="18">
                  <c:v>6.7200000000000006</c:v>
                </c:pt>
                <c:pt idx="19">
                  <c:v>6.28</c:v>
                </c:pt>
                <c:pt idx="20">
                  <c:v>4.2600000000000007</c:v>
                </c:pt>
                <c:pt idx="21">
                  <c:v>1.36</c:v>
                </c:pt>
                <c:pt idx="22">
                  <c:v>2.2200000000000002</c:v>
                </c:pt>
                <c:pt idx="23">
                  <c:v>2.2400000000000007</c:v>
                </c:pt>
                <c:pt idx="24">
                  <c:v>5.1399999999999988</c:v>
                </c:pt>
                <c:pt idx="25">
                  <c:v>3.4800000000000009</c:v>
                </c:pt>
                <c:pt idx="26">
                  <c:v>1.5599999999999998</c:v>
                </c:pt>
                <c:pt idx="27">
                  <c:v>2.8000000000000003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6-5841-8C37-161889878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29952"/>
        <c:axId val="380936688"/>
      </c:lineChart>
      <c:catAx>
        <c:axId val="20852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36688"/>
        <c:crosses val="autoZero"/>
        <c:auto val="1"/>
        <c:lblAlgn val="ctr"/>
        <c:lblOffset val="100"/>
        <c:noMultiLvlLbl val="0"/>
      </c:catAx>
      <c:valAx>
        <c:axId val="3809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[Nexthikes data sheet 1.xlsx]Hourly Temperature patten!PivotTable8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'Hourly Temperature patten'!$B$3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Temperature patten'!$A$4:$A$28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'Hourly Temperature patten'!$B$4:$B$28</c:f>
              <c:numCache>
                <c:formatCode>#,##0.00</c:formatCode>
                <c:ptCount val="24"/>
                <c:pt idx="0">
                  <c:v>4.7000000000000011</c:v>
                </c:pt>
                <c:pt idx="1">
                  <c:v>4.5400000000000018</c:v>
                </c:pt>
                <c:pt idx="2">
                  <c:v>4.2000000000000011</c:v>
                </c:pt>
                <c:pt idx="3">
                  <c:v>2.68</c:v>
                </c:pt>
                <c:pt idx="4">
                  <c:v>3.580000000000001</c:v>
                </c:pt>
                <c:pt idx="5">
                  <c:v>3.8600000000000017</c:v>
                </c:pt>
                <c:pt idx="6">
                  <c:v>4.1800000000000015</c:v>
                </c:pt>
                <c:pt idx="7">
                  <c:v>4.1400000000000015</c:v>
                </c:pt>
                <c:pt idx="8">
                  <c:v>4.3000000000000016</c:v>
                </c:pt>
                <c:pt idx="9">
                  <c:v>4.6800000000000006</c:v>
                </c:pt>
                <c:pt idx="10">
                  <c:v>5.0799999999999992</c:v>
                </c:pt>
                <c:pt idx="11">
                  <c:v>5.44</c:v>
                </c:pt>
                <c:pt idx="12">
                  <c:v>6</c:v>
                </c:pt>
                <c:pt idx="13">
                  <c:v>6.32</c:v>
                </c:pt>
                <c:pt idx="14">
                  <c:v>6.6</c:v>
                </c:pt>
                <c:pt idx="15">
                  <c:v>6.6200000000000028</c:v>
                </c:pt>
                <c:pt idx="16">
                  <c:v>6.5400000000000009</c:v>
                </c:pt>
                <c:pt idx="17">
                  <c:v>6.16</c:v>
                </c:pt>
                <c:pt idx="18">
                  <c:v>5.660000000000001</c:v>
                </c:pt>
                <c:pt idx="19">
                  <c:v>5.3200000000000012</c:v>
                </c:pt>
                <c:pt idx="20">
                  <c:v>5.0999999999999996</c:v>
                </c:pt>
                <c:pt idx="21">
                  <c:v>4.92</c:v>
                </c:pt>
                <c:pt idx="22">
                  <c:v>4.7399999999999993</c:v>
                </c:pt>
                <c:pt idx="23">
                  <c:v>4.7399999999999993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9-3D46-A4ED-46AFA048D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136064"/>
        <c:axId val="596303936"/>
      </c:lineChart>
      <c:catAx>
        <c:axId val="45313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303936"/>
        <c:crosses val="autoZero"/>
        <c:auto val="1"/>
        <c:lblAlgn val="ctr"/>
        <c:lblOffset val="100"/>
        <c:noMultiLvlLbl val="0"/>
      </c:catAx>
      <c:valAx>
        <c:axId val="5963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3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[Nexthikes data sheet 1.xlsx]Weekday Temperature Trend!PivotTable9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'Weekday Temperature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'Weekday Temperature Trend'!$A$4:$A$11</c:f>
              <c:strCache>
                <c:ptCount val="7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</c:strCache>
            </c:strRef>
          </c:cat>
          <c:val>
            <c:numRef>
              <c:f>'Weekday Temperature Trend'!$B$4:$B$11</c:f>
              <c:numCache>
                <c:formatCode>#,##0.00</c:formatCode>
                <c:ptCount val="7"/>
                <c:pt idx="0">
                  <c:v>19.459999999999997</c:v>
                </c:pt>
                <c:pt idx="1">
                  <c:v>14.399999999999995</c:v>
                </c:pt>
                <c:pt idx="2">
                  <c:v>16.060000000000009</c:v>
                </c:pt>
                <c:pt idx="3">
                  <c:v>19.219999999999992</c:v>
                </c:pt>
                <c:pt idx="4">
                  <c:v>16.5</c:v>
                </c:pt>
                <c:pt idx="5">
                  <c:v>15.279999999999992</c:v>
                </c:pt>
                <c:pt idx="6">
                  <c:v>19.179999999999986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6-8C49-A78D-E228EF84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763392"/>
        <c:axId val="453644496"/>
      </c:barChart>
      <c:catAx>
        <c:axId val="42476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44496"/>
        <c:crosses val="autoZero"/>
        <c:auto val="1"/>
        <c:lblAlgn val="ctr"/>
        <c:lblOffset val="100"/>
        <c:noMultiLvlLbl val="0"/>
      </c:catAx>
      <c:valAx>
        <c:axId val="4536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6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[Nexthikes data sheet 1.xlsx]Weather Vs Temperature!PivotTable10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'Weather Vs Temperature'!$B$3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'Weather Vs Temperature'!$A$4:$A$8</c:f>
              <c:strCache>
                <c:ptCount val="4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</c:strCache>
            </c:strRef>
          </c:cat>
          <c:val>
            <c:numRef>
              <c:f>'Weather Vs Temperature'!$B$4:$B$8</c:f>
              <c:numCache>
                <c:formatCode>#,##0.00</c:formatCode>
                <c:ptCount val="4"/>
                <c:pt idx="0">
                  <c:v>66.48</c:v>
                </c:pt>
                <c:pt idx="1">
                  <c:v>42.99999999999995</c:v>
                </c:pt>
                <c:pt idx="2">
                  <c:v>10.4</c:v>
                </c:pt>
                <c:pt idx="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7-2F40-939B-11DCF007F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547791"/>
        <c:axId val="966363503"/>
      </c:lineChart>
      <c:catAx>
        <c:axId val="96654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63503"/>
        <c:crosses val="autoZero"/>
        <c:auto val="1"/>
        <c:lblAlgn val="ctr"/>
        <c:lblOffset val="100"/>
        <c:noMultiLvlLbl val="0"/>
      </c:catAx>
      <c:valAx>
        <c:axId val="9663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4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7</xdr:row>
      <xdr:rowOff>129540</xdr:rowOff>
    </xdr:from>
    <xdr:to>
      <xdr:col>12</xdr:col>
      <xdr:colOff>101600</xdr:colOff>
      <xdr:row>24</xdr:row>
      <xdr:rowOff>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7356E-AA58-BB2C-4D4D-4768CEA6C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165100</xdr:colOff>
      <xdr:row>20</xdr:row>
      <xdr:rowOff>139700</xdr:rowOff>
    </xdr:from>
    <xdr:to>
      <xdr:col>12</xdr:col>
      <xdr:colOff>609600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0C9AF-6862-C7B8-C6C5-673F14868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8</xdr:row>
      <xdr:rowOff>25400</xdr:rowOff>
    </xdr:from>
    <xdr:to>
      <xdr:col>10</xdr:col>
      <xdr:colOff>381000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C686D-F8B8-B71F-055A-844627E9D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165100</xdr:colOff>
      <xdr:row>20</xdr:row>
      <xdr:rowOff>139700</xdr:rowOff>
    </xdr:from>
    <xdr:to>
      <xdr:col>12</xdr:col>
      <xdr:colOff>609600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4EBE9-07D5-5380-FDAE-178092501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wati/Downloads/Nexthikes%20dataset_2.xlsx" TargetMode="External"/><Relationship Id="rId1" Type="http://schemas.openxmlformats.org/officeDocument/2006/relationships/externalLinkPath" Target="Nexthikes%20datase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_2"/>
      <sheetName val="Sheet1"/>
    </sheetNames>
    <sheetDataSet>
      <sheetData sheetId="0">
        <row r="1">
          <cell r="A1" t="str">
            <v>INSTANT</v>
          </cell>
          <cell r="B1" t="str">
            <v>APPARENT TEMPERATURE</v>
          </cell>
          <cell r="C1" t="str">
            <v>HUMIDITY</v>
          </cell>
          <cell r="D1" t="str">
            <v>WINDSPEED</v>
          </cell>
          <cell r="E1" t="str">
            <v>CASUAL USERS</v>
          </cell>
          <cell r="F1" t="str">
            <v>REGISTERED USERS</v>
          </cell>
          <cell r="G1" t="str">
            <v>TOTAL COUNT</v>
          </cell>
        </row>
        <row r="2">
          <cell r="A2">
            <v>1</v>
          </cell>
          <cell r="B2">
            <v>0.28789999999999999</v>
          </cell>
          <cell r="C2">
            <v>0.81</v>
          </cell>
          <cell r="D2">
            <v>0</v>
          </cell>
          <cell r="E2">
            <v>3</v>
          </cell>
          <cell r="F2">
            <v>13</v>
          </cell>
          <cell r="G2">
            <v>16</v>
          </cell>
        </row>
        <row r="3">
          <cell r="A3">
            <v>2</v>
          </cell>
          <cell r="B3">
            <v>0.2727</v>
          </cell>
          <cell r="C3">
            <v>0.8</v>
          </cell>
          <cell r="D3">
            <v>0</v>
          </cell>
          <cell r="E3">
            <v>8</v>
          </cell>
          <cell r="F3">
            <v>32</v>
          </cell>
          <cell r="G3">
            <v>40</v>
          </cell>
        </row>
        <row r="4">
          <cell r="A4">
            <v>3</v>
          </cell>
          <cell r="B4">
            <v>0.2727</v>
          </cell>
          <cell r="C4">
            <v>0.8</v>
          </cell>
          <cell r="D4">
            <v>0</v>
          </cell>
          <cell r="E4">
            <v>5</v>
          </cell>
          <cell r="F4">
            <v>27</v>
          </cell>
          <cell r="G4">
            <v>32</v>
          </cell>
        </row>
        <row r="5">
          <cell r="A5">
            <v>4</v>
          </cell>
          <cell r="B5">
            <v>0.28789999999999999</v>
          </cell>
          <cell r="C5">
            <v>0.75</v>
          </cell>
          <cell r="D5">
            <v>0</v>
          </cell>
          <cell r="E5">
            <v>3</v>
          </cell>
          <cell r="F5">
            <v>10</v>
          </cell>
          <cell r="G5">
            <v>13</v>
          </cell>
        </row>
        <row r="6">
          <cell r="A6">
            <v>5</v>
          </cell>
          <cell r="B6">
            <v>0.28789999999999999</v>
          </cell>
          <cell r="C6">
            <v>0.75</v>
          </cell>
          <cell r="D6">
            <v>0</v>
          </cell>
          <cell r="E6">
            <v>0</v>
          </cell>
          <cell r="F6">
            <v>1</v>
          </cell>
          <cell r="G6">
            <v>1</v>
          </cell>
        </row>
        <row r="7">
          <cell r="A7">
            <v>6</v>
          </cell>
          <cell r="B7">
            <v>0.2576</v>
          </cell>
          <cell r="C7">
            <v>0.75</v>
          </cell>
          <cell r="D7">
            <v>8.9599999999999999E-2</v>
          </cell>
          <cell r="E7">
            <v>0</v>
          </cell>
          <cell r="F7">
            <v>1</v>
          </cell>
          <cell r="G7">
            <v>1</v>
          </cell>
        </row>
        <row r="8">
          <cell r="A8">
            <v>7</v>
          </cell>
          <cell r="B8">
            <v>0.2727</v>
          </cell>
          <cell r="C8">
            <v>0.8</v>
          </cell>
          <cell r="D8">
            <v>0</v>
          </cell>
          <cell r="E8">
            <v>2</v>
          </cell>
          <cell r="F8">
            <v>0</v>
          </cell>
          <cell r="G8">
            <v>2</v>
          </cell>
        </row>
        <row r="9">
          <cell r="A9">
            <v>8</v>
          </cell>
          <cell r="B9">
            <v>0.2576</v>
          </cell>
          <cell r="C9">
            <v>0.86</v>
          </cell>
          <cell r="D9">
            <v>0</v>
          </cell>
          <cell r="E9">
            <v>1</v>
          </cell>
          <cell r="F9">
            <v>2</v>
          </cell>
          <cell r="G9">
            <v>3</v>
          </cell>
        </row>
        <row r="10">
          <cell r="A10">
            <v>9</v>
          </cell>
          <cell r="B10">
            <v>0.34849999999999998</v>
          </cell>
          <cell r="C10">
            <v>0.76</v>
          </cell>
          <cell r="D10">
            <v>0</v>
          </cell>
          <cell r="E10">
            <v>8</v>
          </cell>
          <cell r="F10">
            <v>6</v>
          </cell>
          <cell r="G10">
            <v>14</v>
          </cell>
        </row>
        <row r="11">
          <cell r="A11">
            <v>10</v>
          </cell>
          <cell r="B11">
            <v>0.39389999999999997</v>
          </cell>
          <cell r="C11">
            <v>0.76</v>
          </cell>
          <cell r="D11">
            <v>0.25369999999999998</v>
          </cell>
          <cell r="E11">
            <v>12</v>
          </cell>
          <cell r="F11">
            <v>24</v>
          </cell>
          <cell r="G11">
            <v>36</v>
          </cell>
        </row>
        <row r="12">
          <cell r="A12">
            <v>11</v>
          </cell>
          <cell r="B12">
            <v>0.33329999999999999</v>
          </cell>
          <cell r="C12">
            <v>0.81</v>
          </cell>
          <cell r="D12">
            <v>0.28360000000000002</v>
          </cell>
          <cell r="E12">
            <v>26</v>
          </cell>
          <cell r="F12">
            <v>30</v>
          </cell>
          <cell r="G12">
            <v>56</v>
          </cell>
        </row>
        <row r="13">
          <cell r="A13">
            <v>12</v>
          </cell>
          <cell r="B13">
            <v>0.42420000000000002</v>
          </cell>
          <cell r="C13">
            <v>0.77</v>
          </cell>
          <cell r="D13">
            <v>0.28360000000000002</v>
          </cell>
          <cell r="E13">
            <v>29</v>
          </cell>
          <cell r="F13">
            <v>55</v>
          </cell>
          <cell r="G13">
            <v>84</v>
          </cell>
        </row>
        <row r="14">
          <cell r="A14">
            <v>13</v>
          </cell>
          <cell r="B14">
            <v>0.45450000000000002</v>
          </cell>
          <cell r="C14">
            <v>0.72</v>
          </cell>
          <cell r="D14">
            <v>0.29849999999999999</v>
          </cell>
          <cell r="E14">
            <v>47</v>
          </cell>
          <cell r="F14">
            <v>47</v>
          </cell>
          <cell r="G14">
            <v>94</v>
          </cell>
        </row>
        <row r="15">
          <cell r="A15">
            <v>14</v>
          </cell>
          <cell r="B15">
            <v>0.45450000000000002</v>
          </cell>
          <cell r="C15">
            <v>0.72</v>
          </cell>
          <cell r="D15">
            <v>0.28360000000000002</v>
          </cell>
          <cell r="E15">
            <v>35</v>
          </cell>
          <cell r="F15">
            <v>71</v>
          </cell>
          <cell r="G15">
            <v>106</v>
          </cell>
        </row>
        <row r="16">
          <cell r="A16">
            <v>15</v>
          </cell>
          <cell r="B16">
            <v>0.43940000000000001</v>
          </cell>
          <cell r="C16">
            <v>0.77</v>
          </cell>
          <cell r="D16">
            <v>0.29849999999999999</v>
          </cell>
          <cell r="E16">
            <v>40</v>
          </cell>
          <cell r="F16">
            <v>70</v>
          </cell>
          <cell r="G16">
            <v>110</v>
          </cell>
        </row>
        <row r="17">
          <cell r="A17">
            <v>16</v>
          </cell>
          <cell r="B17">
            <v>0.42420000000000002</v>
          </cell>
          <cell r="C17">
            <v>0.82</v>
          </cell>
          <cell r="D17">
            <v>0.29849999999999999</v>
          </cell>
          <cell r="E17">
            <v>41</v>
          </cell>
          <cell r="F17">
            <v>52</v>
          </cell>
          <cell r="G17">
            <v>93</v>
          </cell>
        </row>
        <row r="18">
          <cell r="A18">
            <v>17</v>
          </cell>
          <cell r="B18">
            <v>0.42420000000000002</v>
          </cell>
          <cell r="C18">
            <v>0.88</v>
          </cell>
          <cell r="D18">
            <v>0.25369999999999998</v>
          </cell>
          <cell r="E18">
            <v>9</v>
          </cell>
          <cell r="F18">
            <v>26</v>
          </cell>
          <cell r="G18">
            <v>35</v>
          </cell>
        </row>
        <row r="19">
          <cell r="A19">
            <v>18</v>
          </cell>
          <cell r="B19">
            <v>0.42420000000000002</v>
          </cell>
          <cell r="C19">
            <v>0.88</v>
          </cell>
          <cell r="D19">
            <v>0.25369999999999998</v>
          </cell>
          <cell r="E19">
            <v>6</v>
          </cell>
          <cell r="F19">
            <v>31</v>
          </cell>
          <cell r="G19">
            <v>37</v>
          </cell>
        </row>
        <row r="20">
          <cell r="A20">
            <v>19</v>
          </cell>
          <cell r="B20">
            <v>0.40910000000000002</v>
          </cell>
          <cell r="C20">
            <v>0.87</v>
          </cell>
          <cell r="D20">
            <v>0.25369999999999998</v>
          </cell>
          <cell r="E20">
            <v>11</v>
          </cell>
          <cell r="F20">
            <v>25</v>
          </cell>
          <cell r="G20">
            <v>36</v>
          </cell>
        </row>
        <row r="21">
          <cell r="A21">
            <v>20</v>
          </cell>
          <cell r="B21">
            <v>0.40910000000000002</v>
          </cell>
          <cell r="C21">
            <v>0.87</v>
          </cell>
          <cell r="D21">
            <v>0.19400000000000001</v>
          </cell>
          <cell r="E21">
            <v>3</v>
          </cell>
          <cell r="F21">
            <v>31</v>
          </cell>
          <cell r="G21">
            <v>34</v>
          </cell>
        </row>
        <row r="22">
          <cell r="A22">
            <v>21</v>
          </cell>
          <cell r="B22">
            <v>0.40910000000000002</v>
          </cell>
          <cell r="C22">
            <v>0.94</v>
          </cell>
          <cell r="D22">
            <v>0.22389999999999999</v>
          </cell>
          <cell r="E22">
            <v>11</v>
          </cell>
          <cell r="F22">
            <v>17</v>
          </cell>
          <cell r="G22">
            <v>28</v>
          </cell>
        </row>
        <row r="23">
          <cell r="A23">
            <v>22</v>
          </cell>
          <cell r="B23">
            <v>0.45450000000000002</v>
          </cell>
          <cell r="C23">
            <v>0.88</v>
          </cell>
          <cell r="D23">
            <v>0.29849999999999999</v>
          </cell>
          <cell r="E23">
            <v>4</v>
          </cell>
          <cell r="F23">
            <v>13</v>
          </cell>
          <cell r="G23">
            <v>17</v>
          </cell>
        </row>
        <row r="24">
          <cell r="A24">
            <v>23</v>
          </cell>
          <cell r="B24">
            <v>0.43940000000000001</v>
          </cell>
          <cell r="C24">
            <v>0.94</v>
          </cell>
          <cell r="D24">
            <v>0.25369999999999998</v>
          </cell>
          <cell r="E24">
            <v>1</v>
          </cell>
          <cell r="F24">
            <v>16</v>
          </cell>
          <cell r="G24">
            <v>17</v>
          </cell>
        </row>
        <row r="25">
          <cell r="A25">
            <v>24</v>
          </cell>
          <cell r="B25">
            <v>0.42420000000000002</v>
          </cell>
          <cell r="C25">
            <v>1</v>
          </cell>
          <cell r="D25">
            <v>0.28360000000000002</v>
          </cell>
          <cell r="E25">
            <v>1</v>
          </cell>
          <cell r="F25">
            <v>8</v>
          </cell>
          <cell r="G25">
            <v>9</v>
          </cell>
        </row>
        <row r="26">
          <cell r="A26">
            <v>25</v>
          </cell>
          <cell r="B26">
            <v>0.45450000000000002</v>
          </cell>
          <cell r="C26">
            <v>0.94</v>
          </cell>
          <cell r="D26">
            <v>0.19400000000000001</v>
          </cell>
          <cell r="E26">
            <v>2</v>
          </cell>
          <cell r="F26">
            <v>4</v>
          </cell>
          <cell r="G26">
            <v>6</v>
          </cell>
        </row>
        <row r="27">
          <cell r="A27">
            <v>26</v>
          </cell>
          <cell r="B27">
            <v>0.42420000000000002</v>
          </cell>
          <cell r="C27">
            <v>0.77</v>
          </cell>
          <cell r="D27">
            <v>0.29849999999999999</v>
          </cell>
          <cell r="E27">
            <v>0</v>
          </cell>
          <cell r="F27">
            <v>2</v>
          </cell>
          <cell r="G27">
            <v>2</v>
          </cell>
        </row>
        <row r="28">
          <cell r="A28">
            <v>27</v>
          </cell>
          <cell r="B28">
            <v>0.40910000000000002</v>
          </cell>
          <cell r="C28">
            <v>0.76</v>
          </cell>
          <cell r="D28">
            <v>0.19400000000000001</v>
          </cell>
          <cell r="E28">
            <v>0</v>
          </cell>
          <cell r="F28">
            <v>1</v>
          </cell>
          <cell r="G28">
            <v>1</v>
          </cell>
        </row>
        <row r="29">
          <cell r="A29">
            <v>28</v>
          </cell>
          <cell r="B29">
            <v>0.40910000000000002</v>
          </cell>
          <cell r="C29">
            <v>0.71</v>
          </cell>
          <cell r="D29">
            <v>0.22389999999999999</v>
          </cell>
          <cell r="E29">
            <v>0</v>
          </cell>
          <cell r="F29">
            <v>8</v>
          </cell>
          <cell r="G29">
            <v>8</v>
          </cell>
        </row>
        <row r="30">
          <cell r="A30">
            <v>29</v>
          </cell>
          <cell r="B30">
            <v>0.34849999999999998</v>
          </cell>
          <cell r="C30">
            <v>0.81</v>
          </cell>
          <cell r="D30">
            <v>0.22389999999999999</v>
          </cell>
          <cell r="E30">
            <v>7</v>
          </cell>
          <cell r="F30">
            <v>46</v>
          </cell>
          <cell r="G30">
            <v>53</v>
          </cell>
        </row>
        <row r="31">
          <cell r="A31">
            <v>30</v>
          </cell>
          <cell r="B31">
            <v>0.33329999999999999</v>
          </cell>
          <cell r="C31">
            <v>0.71</v>
          </cell>
          <cell r="D31">
            <v>0.25369999999999998</v>
          </cell>
          <cell r="E31">
            <v>16</v>
          </cell>
          <cell r="F31">
            <v>54</v>
          </cell>
          <cell r="G31">
            <v>70</v>
          </cell>
        </row>
        <row r="32">
          <cell r="A32">
            <v>31</v>
          </cell>
          <cell r="B32">
            <v>0.33329999999999999</v>
          </cell>
          <cell r="C32">
            <v>0.66</v>
          </cell>
          <cell r="D32">
            <v>0.29849999999999999</v>
          </cell>
          <cell r="E32">
            <v>20</v>
          </cell>
          <cell r="F32">
            <v>73</v>
          </cell>
          <cell r="G32">
            <v>93</v>
          </cell>
        </row>
        <row r="33">
          <cell r="A33">
            <v>32</v>
          </cell>
          <cell r="B33">
            <v>0.34849999999999998</v>
          </cell>
          <cell r="C33">
            <v>0.66</v>
          </cell>
          <cell r="D33">
            <v>0.1343</v>
          </cell>
          <cell r="E33">
            <v>11</v>
          </cell>
          <cell r="F33">
            <v>64</v>
          </cell>
          <cell r="G33">
            <v>75</v>
          </cell>
        </row>
        <row r="34">
          <cell r="A34">
            <v>33</v>
          </cell>
          <cell r="B34">
            <v>0.33329999999999999</v>
          </cell>
          <cell r="C34">
            <v>0.81</v>
          </cell>
          <cell r="D34">
            <v>0.16420000000000001</v>
          </cell>
          <cell r="E34">
            <v>19</v>
          </cell>
          <cell r="F34">
            <v>55</v>
          </cell>
          <cell r="G34">
            <v>74</v>
          </cell>
        </row>
        <row r="35">
          <cell r="A35">
            <v>34</v>
          </cell>
          <cell r="B35">
            <v>0.33329999999999999</v>
          </cell>
          <cell r="C35">
            <v>0.71</v>
          </cell>
          <cell r="D35">
            <v>0.16420000000000001</v>
          </cell>
          <cell r="E35">
            <v>9</v>
          </cell>
          <cell r="F35">
            <v>67</v>
          </cell>
          <cell r="G35">
            <v>76</v>
          </cell>
        </row>
        <row r="36">
          <cell r="A36">
            <v>35</v>
          </cell>
          <cell r="B36">
            <v>0.33329999999999999</v>
          </cell>
          <cell r="C36">
            <v>0.56999999999999995</v>
          </cell>
          <cell r="D36">
            <v>0.19400000000000001</v>
          </cell>
          <cell r="E36">
            <v>7</v>
          </cell>
          <cell r="F36">
            <v>58</v>
          </cell>
          <cell r="G36">
            <v>65</v>
          </cell>
        </row>
        <row r="37">
          <cell r="A37">
            <v>36</v>
          </cell>
          <cell r="B37">
            <v>0.33329999999999999</v>
          </cell>
          <cell r="C37">
            <v>0.46</v>
          </cell>
          <cell r="D37">
            <v>0.32840000000000003</v>
          </cell>
          <cell r="E37">
            <v>10</v>
          </cell>
          <cell r="F37">
            <v>43</v>
          </cell>
          <cell r="G37">
            <v>53</v>
          </cell>
        </row>
        <row r="38">
          <cell r="A38">
            <v>37</v>
          </cell>
          <cell r="B38">
            <v>0.28789999999999999</v>
          </cell>
          <cell r="C38">
            <v>0.42</v>
          </cell>
          <cell r="D38">
            <v>0.44779999999999998</v>
          </cell>
          <cell r="E38">
            <v>1</v>
          </cell>
          <cell r="F38">
            <v>29</v>
          </cell>
          <cell r="G38">
            <v>30</v>
          </cell>
        </row>
        <row r="39">
          <cell r="A39">
            <v>38</v>
          </cell>
          <cell r="B39">
            <v>0.2273</v>
          </cell>
          <cell r="C39">
            <v>0.44</v>
          </cell>
          <cell r="D39">
            <v>0.32840000000000003</v>
          </cell>
          <cell r="E39">
            <v>11</v>
          </cell>
          <cell r="F39">
            <v>20</v>
          </cell>
          <cell r="G39">
            <v>31</v>
          </cell>
        </row>
        <row r="40">
          <cell r="A40">
            <v>39</v>
          </cell>
          <cell r="B40">
            <v>0.21210000000000001</v>
          </cell>
          <cell r="C40">
            <v>0.44</v>
          </cell>
          <cell r="D40">
            <v>0.29849999999999999</v>
          </cell>
          <cell r="E40">
            <v>0</v>
          </cell>
          <cell r="F40">
            <v>9</v>
          </cell>
          <cell r="G40">
            <v>9</v>
          </cell>
        </row>
        <row r="41">
          <cell r="A41">
            <v>40</v>
          </cell>
          <cell r="B41">
            <v>0.2273</v>
          </cell>
          <cell r="C41">
            <v>0.47</v>
          </cell>
          <cell r="D41">
            <v>0.16420000000000001</v>
          </cell>
          <cell r="E41">
            <v>0</v>
          </cell>
          <cell r="F41">
            <v>8</v>
          </cell>
          <cell r="G41">
            <v>8</v>
          </cell>
        </row>
        <row r="42">
          <cell r="A42">
            <v>41</v>
          </cell>
          <cell r="B42">
            <v>0.19700000000000001</v>
          </cell>
          <cell r="C42">
            <v>0.44</v>
          </cell>
          <cell r="D42">
            <v>0.35820000000000002</v>
          </cell>
          <cell r="E42">
            <v>0</v>
          </cell>
          <cell r="F42">
            <v>5</v>
          </cell>
          <cell r="G42">
            <v>5</v>
          </cell>
        </row>
        <row r="43">
          <cell r="A43">
            <v>42</v>
          </cell>
          <cell r="B43">
            <v>0.13639999999999999</v>
          </cell>
          <cell r="C43">
            <v>0.47</v>
          </cell>
          <cell r="D43">
            <v>0.3881</v>
          </cell>
          <cell r="E43">
            <v>0</v>
          </cell>
          <cell r="F43">
            <v>1</v>
          </cell>
          <cell r="G43">
            <v>1</v>
          </cell>
        </row>
        <row r="44">
          <cell r="A44">
            <v>43</v>
          </cell>
          <cell r="B44">
            <v>0.13639999999999999</v>
          </cell>
          <cell r="C44">
            <v>0.47</v>
          </cell>
          <cell r="D44">
            <v>0.28360000000000002</v>
          </cell>
          <cell r="E44">
            <v>0</v>
          </cell>
          <cell r="F44">
            <v>3</v>
          </cell>
          <cell r="G44">
            <v>3</v>
          </cell>
        </row>
        <row r="45">
          <cell r="A45">
            <v>44</v>
          </cell>
          <cell r="B45">
            <v>0.1061</v>
          </cell>
          <cell r="C45">
            <v>0.5</v>
          </cell>
          <cell r="D45">
            <v>0.3881</v>
          </cell>
          <cell r="E45">
            <v>0</v>
          </cell>
          <cell r="F45">
            <v>30</v>
          </cell>
          <cell r="G45">
            <v>30</v>
          </cell>
        </row>
        <row r="46">
          <cell r="A46">
            <v>45</v>
          </cell>
          <cell r="B46">
            <v>0.13639999999999999</v>
          </cell>
          <cell r="C46">
            <v>0.5</v>
          </cell>
          <cell r="D46">
            <v>0.19400000000000001</v>
          </cell>
          <cell r="E46">
            <v>1</v>
          </cell>
          <cell r="F46">
            <v>63</v>
          </cell>
          <cell r="G46">
            <v>64</v>
          </cell>
        </row>
        <row r="47">
          <cell r="A47">
            <v>46</v>
          </cell>
          <cell r="B47">
            <v>0.1212</v>
          </cell>
          <cell r="C47">
            <v>0.5</v>
          </cell>
          <cell r="D47">
            <v>0.28360000000000002</v>
          </cell>
          <cell r="E47">
            <v>1</v>
          </cell>
          <cell r="F47">
            <v>153</v>
          </cell>
          <cell r="G47">
            <v>154</v>
          </cell>
        </row>
        <row r="48">
          <cell r="A48">
            <v>47</v>
          </cell>
          <cell r="B48">
            <v>0.13639999999999999</v>
          </cell>
          <cell r="C48">
            <v>0.43</v>
          </cell>
          <cell r="D48">
            <v>0.3881</v>
          </cell>
          <cell r="E48">
            <v>7</v>
          </cell>
          <cell r="F48">
            <v>81</v>
          </cell>
          <cell r="G48">
            <v>88</v>
          </cell>
        </row>
        <row r="49">
          <cell r="A49">
            <v>48</v>
          </cell>
          <cell r="B49">
            <v>0.16669999999999999</v>
          </cell>
          <cell r="C49">
            <v>0.43</v>
          </cell>
          <cell r="D49">
            <v>0.25369999999999998</v>
          </cell>
          <cell r="E49">
            <v>11</v>
          </cell>
          <cell r="F49">
            <v>33</v>
          </cell>
          <cell r="G49">
            <v>44</v>
          </cell>
        </row>
        <row r="50">
          <cell r="A50">
            <v>49</v>
          </cell>
          <cell r="B50">
            <v>0.18179999999999999</v>
          </cell>
          <cell r="C50">
            <v>0.4</v>
          </cell>
          <cell r="D50">
            <v>0.32840000000000003</v>
          </cell>
          <cell r="E50">
            <v>10</v>
          </cell>
          <cell r="F50">
            <v>41</v>
          </cell>
          <cell r="G50">
            <v>51</v>
          </cell>
        </row>
        <row r="51">
          <cell r="A51">
            <v>50</v>
          </cell>
          <cell r="B51">
            <v>0.21210000000000001</v>
          </cell>
          <cell r="C51">
            <v>0.35</v>
          </cell>
          <cell r="D51">
            <v>0.29849999999999999</v>
          </cell>
          <cell r="E51">
            <v>13</v>
          </cell>
          <cell r="F51">
            <v>48</v>
          </cell>
          <cell r="G51">
            <v>61</v>
          </cell>
        </row>
        <row r="52">
          <cell r="A52">
            <v>51</v>
          </cell>
          <cell r="B52">
            <v>0.2424</v>
          </cell>
          <cell r="C52">
            <v>0.3</v>
          </cell>
          <cell r="D52">
            <v>0.28360000000000002</v>
          </cell>
          <cell r="E52">
            <v>11</v>
          </cell>
          <cell r="F52">
            <v>66</v>
          </cell>
          <cell r="G52">
            <v>77</v>
          </cell>
        </row>
        <row r="53">
          <cell r="A53">
            <v>52</v>
          </cell>
          <cell r="B53">
            <v>0.2424</v>
          </cell>
          <cell r="C53">
            <v>0.3</v>
          </cell>
          <cell r="D53">
            <v>0.25369999999999998</v>
          </cell>
          <cell r="E53">
            <v>14</v>
          </cell>
          <cell r="F53">
            <v>58</v>
          </cell>
          <cell r="G53">
            <v>72</v>
          </cell>
        </row>
        <row r="54">
          <cell r="A54">
            <v>53</v>
          </cell>
          <cell r="B54">
            <v>0.2424</v>
          </cell>
          <cell r="C54">
            <v>0.3</v>
          </cell>
          <cell r="D54">
            <v>0.25369999999999998</v>
          </cell>
          <cell r="E54">
            <v>9</v>
          </cell>
          <cell r="F54">
            <v>67</v>
          </cell>
          <cell r="G54">
            <v>76</v>
          </cell>
        </row>
        <row r="55">
          <cell r="A55">
            <v>54</v>
          </cell>
          <cell r="B55">
            <v>0.2273</v>
          </cell>
          <cell r="C55">
            <v>0.3</v>
          </cell>
          <cell r="D55">
            <v>0.22389999999999999</v>
          </cell>
          <cell r="E55">
            <v>11</v>
          </cell>
          <cell r="F55">
            <v>146</v>
          </cell>
          <cell r="G55">
            <v>157</v>
          </cell>
        </row>
        <row r="56">
          <cell r="A56">
            <v>55</v>
          </cell>
          <cell r="B56">
            <v>0.2576</v>
          </cell>
          <cell r="C56">
            <v>0.32</v>
          </cell>
          <cell r="D56">
            <v>0.1045</v>
          </cell>
          <cell r="E56">
            <v>9</v>
          </cell>
          <cell r="F56">
            <v>148</v>
          </cell>
          <cell r="G56">
            <v>157</v>
          </cell>
        </row>
        <row r="57">
          <cell r="A57">
            <v>56</v>
          </cell>
          <cell r="B57">
            <v>0.2576</v>
          </cell>
          <cell r="C57">
            <v>0.47</v>
          </cell>
          <cell r="D57">
            <v>0</v>
          </cell>
          <cell r="E57">
            <v>8</v>
          </cell>
          <cell r="F57">
            <v>102</v>
          </cell>
          <cell r="G57">
            <v>110</v>
          </cell>
        </row>
        <row r="58">
          <cell r="A58">
            <v>57</v>
          </cell>
          <cell r="B58">
            <v>0.19700000000000001</v>
          </cell>
          <cell r="C58">
            <v>0.64</v>
          </cell>
          <cell r="D58">
            <v>0.1343</v>
          </cell>
          <cell r="E58">
            <v>3</v>
          </cell>
          <cell r="F58">
            <v>49</v>
          </cell>
          <cell r="G58">
            <v>52</v>
          </cell>
        </row>
        <row r="59">
          <cell r="A59">
            <v>58</v>
          </cell>
          <cell r="B59">
            <v>0.1515</v>
          </cell>
          <cell r="C59">
            <v>0.69</v>
          </cell>
          <cell r="D59">
            <v>0.1343</v>
          </cell>
          <cell r="E59">
            <v>0</v>
          </cell>
          <cell r="F59">
            <v>20</v>
          </cell>
          <cell r="G59">
            <v>20</v>
          </cell>
        </row>
        <row r="60">
          <cell r="A60">
            <v>59</v>
          </cell>
          <cell r="B60">
            <v>0.21210000000000001</v>
          </cell>
          <cell r="C60">
            <v>0.55000000000000004</v>
          </cell>
          <cell r="D60">
            <v>0.1045</v>
          </cell>
          <cell r="E60">
            <v>1</v>
          </cell>
          <cell r="F60">
            <v>11</v>
          </cell>
          <cell r="G60">
            <v>12</v>
          </cell>
        </row>
        <row r="61">
          <cell r="A61">
            <v>60</v>
          </cell>
          <cell r="B61">
            <v>0.18179999999999999</v>
          </cell>
          <cell r="C61">
            <v>0.59</v>
          </cell>
          <cell r="D61">
            <v>0.1045</v>
          </cell>
          <cell r="E61">
            <v>0</v>
          </cell>
          <cell r="F61">
            <v>2</v>
          </cell>
          <cell r="G61">
            <v>2</v>
          </cell>
        </row>
        <row r="62">
          <cell r="A62">
            <v>61</v>
          </cell>
          <cell r="B62">
            <v>0.1515</v>
          </cell>
          <cell r="C62">
            <v>0.63</v>
          </cell>
          <cell r="D62">
            <v>0.1343</v>
          </cell>
          <cell r="E62">
            <v>0</v>
          </cell>
          <cell r="F62">
            <v>1</v>
          </cell>
          <cell r="G62">
            <v>1</v>
          </cell>
        </row>
        <row r="63">
          <cell r="A63">
            <v>62</v>
          </cell>
          <cell r="B63">
            <v>0.18179999999999999</v>
          </cell>
          <cell r="C63">
            <v>0.63</v>
          </cell>
          <cell r="D63">
            <v>8.9599999999999999E-2</v>
          </cell>
          <cell r="E63">
            <v>0</v>
          </cell>
          <cell r="F63">
            <v>2</v>
          </cell>
          <cell r="G63">
            <v>2</v>
          </cell>
        </row>
        <row r="64">
          <cell r="A64">
            <v>63</v>
          </cell>
          <cell r="B64">
            <v>0.1515</v>
          </cell>
          <cell r="C64">
            <v>0.68</v>
          </cell>
          <cell r="D64">
            <v>0.1045</v>
          </cell>
          <cell r="E64">
            <v>0</v>
          </cell>
          <cell r="F64">
            <v>4</v>
          </cell>
          <cell r="G64">
            <v>4</v>
          </cell>
        </row>
        <row r="65">
          <cell r="A65">
            <v>64</v>
          </cell>
          <cell r="B65">
            <v>0.1515</v>
          </cell>
          <cell r="C65">
            <v>0.74</v>
          </cell>
          <cell r="D65">
            <v>0.1045</v>
          </cell>
          <cell r="E65">
            <v>0</v>
          </cell>
          <cell r="F65">
            <v>36</v>
          </cell>
          <cell r="G65">
            <v>36</v>
          </cell>
        </row>
        <row r="66">
          <cell r="A66">
            <v>65</v>
          </cell>
          <cell r="B66">
            <v>0.1515</v>
          </cell>
          <cell r="C66">
            <v>0.74</v>
          </cell>
          <cell r="D66">
            <v>0.1343</v>
          </cell>
          <cell r="E66">
            <v>2</v>
          </cell>
          <cell r="F66">
            <v>92</v>
          </cell>
          <cell r="G66">
            <v>94</v>
          </cell>
        </row>
        <row r="67">
          <cell r="A67">
            <v>66</v>
          </cell>
          <cell r="B67">
            <v>0.1515</v>
          </cell>
          <cell r="C67">
            <v>0.69</v>
          </cell>
          <cell r="D67">
            <v>0.16420000000000001</v>
          </cell>
          <cell r="E67">
            <v>2</v>
          </cell>
          <cell r="F67">
            <v>177</v>
          </cell>
          <cell r="G67">
            <v>179</v>
          </cell>
        </row>
        <row r="68">
          <cell r="A68">
            <v>67</v>
          </cell>
          <cell r="B68">
            <v>0.1515</v>
          </cell>
          <cell r="C68">
            <v>0.64</v>
          </cell>
          <cell r="D68">
            <v>0.22389999999999999</v>
          </cell>
          <cell r="E68">
            <v>2</v>
          </cell>
          <cell r="F68">
            <v>98</v>
          </cell>
          <cell r="G68">
            <v>100</v>
          </cell>
        </row>
        <row r="69">
          <cell r="A69">
            <v>68</v>
          </cell>
          <cell r="B69">
            <v>0.13639999999999999</v>
          </cell>
          <cell r="C69">
            <v>0.69</v>
          </cell>
          <cell r="D69">
            <v>0.32840000000000003</v>
          </cell>
          <cell r="E69">
            <v>5</v>
          </cell>
          <cell r="F69">
            <v>37</v>
          </cell>
          <cell r="G69">
            <v>42</v>
          </cell>
        </row>
        <row r="70">
          <cell r="A70">
            <v>69</v>
          </cell>
          <cell r="B70">
            <v>0.21210000000000001</v>
          </cell>
          <cell r="C70">
            <v>0.51</v>
          </cell>
          <cell r="D70">
            <v>0.29849999999999999</v>
          </cell>
          <cell r="E70">
            <v>7</v>
          </cell>
          <cell r="F70">
            <v>50</v>
          </cell>
          <cell r="G70">
            <v>57</v>
          </cell>
        </row>
        <row r="71">
          <cell r="A71">
            <v>70</v>
          </cell>
          <cell r="B71">
            <v>0.2273</v>
          </cell>
          <cell r="C71">
            <v>0.51</v>
          </cell>
          <cell r="D71">
            <v>0.16420000000000001</v>
          </cell>
          <cell r="E71">
            <v>12</v>
          </cell>
          <cell r="F71">
            <v>66</v>
          </cell>
          <cell r="G71">
            <v>78</v>
          </cell>
        </row>
        <row r="72">
          <cell r="A72">
            <v>71</v>
          </cell>
          <cell r="B72">
            <v>0.2273</v>
          </cell>
          <cell r="C72">
            <v>0.56000000000000005</v>
          </cell>
          <cell r="D72">
            <v>0.19400000000000001</v>
          </cell>
          <cell r="E72">
            <v>18</v>
          </cell>
          <cell r="F72">
            <v>79</v>
          </cell>
          <cell r="G72">
            <v>97</v>
          </cell>
        </row>
        <row r="73">
          <cell r="A73">
            <v>72</v>
          </cell>
          <cell r="B73">
            <v>0.2576</v>
          </cell>
          <cell r="C73">
            <v>0.52</v>
          </cell>
          <cell r="D73">
            <v>0.22389999999999999</v>
          </cell>
          <cell r="E73">
            <v>9</v>
          </cell>
          <cell r="F73">
            <v>54</v>
          </cell>
          <cell r="G73">
            <v>63</v>
          </cell>
        </row>
        <row r="74">
          <cell r="A74">
            <v>73</v>
          </cell>
          <cell r="B74">
            <v>0.2727</v>
          </cell>
          <cell r="C74">
            <v>0.52</v>
          </cell>
          <cell r="D74">
            <v>0.25369999999999998</v>
          </cell>
          <cell r="E74">
            <v>17</v>
          </cell>
          <cell r="F74">
            <v>48</v>
          </cell>
          <cell r="G74">
            <v>65</v>
          </cell>
        </row>
        <row r="75">
          <cell r="A75">
            <v>74</v>
          </cell>
          <cell r="B75">
            <v>0.28789999999999999</v>
          </cell>
          <cell r="C75">
            <v>0.49</v>
          </cell>
          <cell r="D75">
            <v>0.25369999999999998</v>
          </cell>
          <cell r="E75">
            <v>15</v>
          </cell>
          <cell r="F75">
            <v>68</v>
          </cell>
          <cell r="G75">
            <v>83</v>
          </cell>
        </row>
        <row r="76">
          <cell r="A76">
            <v>75</v>
          </cell>
          <cell r="B76">
            <v>0.2727</v>
          </cell>
          <cell r="C76">
            <v>0.48</v>
          </cell>
          <cell r="D76">
            <v>0.22389999999999999</v>
          </cell>
          <cell r="E76">
            <v>10</v>
          </cell>
          <cell r="F76">
            <v>202</v>
          </cell>
          <cell r="G76">
            <v>212</v>
          </cell>
        </row>
        <row r="77">
          <cell r="A77">
            <v>76</v>
          </cell>
          <cell r="B77">
            <v>0.2576</v>
          </cell>
          <cell r="C77">
            <v>0.48</v>
          </cell>
          <cell r="D77">
            <v>0.19400000000000001</v>
          </cell>
          <cell r="E77">
            <v>3</v>
          </cell>
          <cell r="F77">
            <v>179</v>
          </cell>
          <cell r="G77">
            <v>182</v>
          </cell>
        </row>
        <row r="78">
          <cell r="A78">
            <v>77</v>
          </cell>
          <cell r="B78">
            <v>0.2576</v>
          </cell>
          <cell r="C78">
            <v>0.48</v>
          </cell>
          <cell r="D78">
            <v>0.1045</v>
          </cell>
          <cell r="E78">
            <v>2</v>
          </cell>
          <cell r="F78">
            <v>110</v>
          </cell>
          <cell r="G78">
            <v>112</v>
          </cell>
        </row>
        <row r="79">
          <cell r="A79">
            <v>78</v>
          </cell>
          <cell r="B79">
            <v>0.2576</v>
          </cell>
          <cell r="C79">
            <v>0.48</v>
          </cell>
          <cell r="D79">
            <v>0.1045</v>
          </cell>
          <cell r="E79">
            <v>1</v>
          </cell>
          <cell r="F79">
            <v>53</v>
          </cell>
          <cell r="G79">
            <v>54</v>
          </cell>
        </row>
        <row r="80">
          <cell r="A80">
            <v>79</v>
          </cell>
          <cell r="B80">
            <v>0.2727</v>
          </cell>
          <cell r="C80">
            <v>0.64</v>
          </cell>
          <cell r="D80">
            <v>0</v>
          </cell>
          <cell r="E80">
            <v>0</v>
          </cell>
          <cell r="F80">
            <v>48</v>
          </cell>
          <cell r="G80">
            <v>48</v>
          </cell>
        </row>
        <row r="81">
          <cell r="A81">
            <v>80</v>
          </cell>
          <cell r="B81">
            <v>0.2576</v>
          </cell>
          <cell r="C81">
            <v>0.64</v>
          </cell>
          <cell r="D81">
            <v>8.9599999999999999E-2</v>
          </cell>
          <cell r="E81">
            <v>1</v>
          </cell>
          <cell r="F81">
            <v>34</v>
          </cell>
          <cell r="G81">
            <v>35</v>
          </cell>
        </row>
        <row r="82">
          <cell r="A82">
            <v>81</v>
          </cell>
          <cell r="B82">
            <v>0.2273</v>
          </cell>
          <cell r="C82">
            <v>0.69</v>
          </cell>
          <cell r="D82">
            <v>8.9599999999999999E-2</v>
          </cell>
          <cell r="E82">
            <v>2</v>
          </cell>
          <cell r="F82">
            <v>9</v>
          </cell>
          <cell r="G82">
            <v>11</v>
          </cell>
        </row>
        <row r="83">
          <cell r="A83">
            <v>82</v>
          </cell>
          <cell r="B83">
            <v>0.2576</v>
          </cell>
          <cell r="C83">
            <v>0.64</v>
          </cell>
          <cell r="D83">
            <v>0</v>
          </cell>
          <cell r="E83">
            <v>0</v>
          </cell>
          <cell r="F83">
            <v>6</v>
          </cell>
          <cell r="G83">
            <v>6</v>
          </cell>
        </row>
        <row r="84">
          <cell r="A84">
            <v>83</v>
          </cell>
          <cell r="B84">
            <v>0.19700000000000001</v>
          </cell>
          <cell r="C84">
            <v>0.74</v>
          </cell>
          <cell r="D84">
            <v>8.9599999999999999E-2</v>
          </cell>
          <cell r="E84">
            <v>0</v>
          </cell>
          <cell r="F84">
            <v>6</v>
          </cell>
          <cell r="G84">
            <v>6</v>
          </cell>
        </row>
        <row r="85">
          <cell r="A85">
            <v>84</v>
          </cell>
          <cell r="B85">
            <v>0.19700000000000001</v>
          </cell>
          <cell r="C85">
            <v>0.74</v>
          </cell>
          <cell r="D85">
            <v>8.9599999999999999E-2</v>
          </cell>
          <cell r="E85">
            <v>0</v>
          </cell>
          <cell r="F85">
            <v>2</v>
          </cell>
          <cell r="G85">
            <v>2</v>
          </cell>
        </row>
        <row r="86">
          <cell r="A86">
            <v>85</v>
          </cell>
          <cell r="B86">
            <v>0.2273</v>
          </cell>
          <cell r="C86">
            <v>0.48</v>
          </cell>
          <cell r="D86">
            <v>0.22389999999999999</v>
          </cell>
          <cell r="E86">
            <v>0</v>
          </cell>
          <cell r="F86">
            <v>2</v>
          </cell>
          <cell r="G86">
            <v>2</v>
          </cell>
        </row>
        <row r="87">
          <cell r="A87">
            <v>86</v>
          </cell>
          <cell r="B87">
            <v>0.2273</v>
          </cell>
          <cell r="C87">
            <v>0.47</v>
          </cell>
          <cell r="D87">
            <v>0.16420000000000001</v>
          </cell>
          <cell r="E87">
            <v>0</v>
          </cell>
          <cell r="F87">
            <v>3</v>
          </cell>
          <cell r="G87">
            <v>3</v>
          </cell>
        </row>
        <row r="88">
          <cell r="A88">
            <v>87</v>
          </cell>
          <cell r="B88">
            <v>0.19700000000000001</v>
          </cell>
          <cell r="C88">
            <v>0.47</v>
          </cell>
          <cell r="D88">
            <v>0.22389999999999999</v>
          </cell>
          <cell r="E88">
            <v>0</v>
          </cell>
          <cell r="F88">
            <v>33</v>
          </cell>
          <cell r="G88">
            <v>33</v>
          </cell>
        </row>
        <row r="89">
          <cell r="A89">
            <v>88</v>
          </cell>
          <cell r="B89">
            <v>0.18179999999999999</v>
          </cell>
          <cell r="C89">
            <v>0.43</v>
          </cell>
          <cell r="D89">
            <v>0.19400000000000001</v>
          </cell>
          <cell r="E89">
            <v>1</v>
          </cell>
          <cell r="F89">
            <v>87</v>
          </cell>
          <cell r="G89">
            <v>88</v>
          </cell>
        </row>
        <row r="90">
          <cell r="A90">
            <v>89</v>
          </cell>
          <cell r="B90">
            <v>0.18179999999999999</v>
          </cell>
          <cell r="C90">
            <v>0.4</v>
          </cell>
          <cell r="D90">
            <v>0.29849999999999999</v>
          </cell>
          <cell r="E90">
            <v>3</v>
          </cell>
          <cell r="F90">
            <v>192</v>
          </cell>
          <cell r="G90">
            <v>195</v>
          </cell>
        </row>
        <row r="91">
          <cell r="A91">
            <v>90</v>
          </cell>
          <cell r="B91">
            <v>0.19700000000000001</v>
          </cell>
          <cell r="C91">
            <v>0.37</v>
          </cell>
          <cell r="D91">
            <v>0.32840000000000003</v>
          </cell>
          <cell r="E91">
            <v>6</v>
          </cell>
          <cell r="F91">
            <v>109</v>
          </cell>
          <cell r="G91">
            <v>115</v>
          </cell>
        </row>
        <row r="92">
          <cell r="A92">
            <v>91</v>
          </cell>
          <cell r="B92">
            <v>0.19700000000000001</v>
          </cell>
          <cell r="C92">
            <v>0.37</v>
          </cell>
          <cell r="D92">
            <v>0.32840000000000003</v>
          </cell>
          <cell r="E92">
            <v>4</v>
          </cell>
          <cell r="F92">
            <v>53</v>
          </cell>
          <cell r="G92">
            <v>57</v>
          </cell>
        </row>
        <row r="93">
          <cell r="A93">
            <v>92</v>
          </cell>
          <cell r="B93">
            <v>0.2273</v>
          </cell>
          <cell r="C93">
            <v>0.33</v>
          </cell>
          <cell r="D93">
            <v>0.32840000000000003</v>
          </cell>
          <cell r="E93">
            <v>12</v>
          </cell>
          <cell r="F93">
            <v>34</v>
          </cell>
          <cell r="G93">
            <v>46</v>
          </cell>
        </row>
        <row r="94">
          <cell r="A94">
            <v>93</v>
          </cell>
          <cell r="B94">
            <v>0.2273</v>
          </cell>
          <cell r="C94">
            <v>0.33</v>
          </cell>
          <cell r="D94">
            <v>0.32840000000000003</v>
          </cell>
          <cell r="E94">
            <v>5</v>
          </cell>
          <cell r="F94">
            <v>74</v>
          </cell>
          <cell r="G94">
            <v>79</v>
          </cell>
        </row>
        <row r="95">
          <cell r="A95">
            <v>94</v>
          </cell>
          <cell r="B95">
            <v>0.2576</v>
          </cell>
          <cell r="C95">
            <v>0.3</v>
          </cell>
          <cell r="D95">
            <v>0.29849999999999999</v>
          </cell>
          <cell r="E95">
            <v>6</v>
          </cell>
          <cell r="F95">
            <v>65</v>
          </cell>
          <cell r="G95">
            <v>71</v>
          </cell>
        </row>
        <row r="96">
          <cell r="A96">
            <v>95</v>
          </cell>
          <cell r="B96">
            <v>0.28789999999999999</v>
          </cell>
          <cell r="C96">
            <v>0.28000000000000003</v>
          </cell>
          <cell r="D96">
            <v>0.19400000000000001</v>
          </cell>
          <cell r="E96">
            <v>10</v>
          </cell>
          <cell r="F96">
            <v>52</v>
          </cell>
          <cell r="G96">
            <v>62</v>
          </cell>
        </row>
        <row r="97">
          <cell r="A97">
            <v>96</v>
          </cell>
          <cell r="B97">
            <v>0.28789999999999999</v>
          </cell>
          <cell r="C97">
            <v>0.28000000000000003</v>
          </cell>
          <cell r="D97">
            <v>0.19400000000000001</v>
          </cell>
          <cell r="E97">
            <v>7</v>
          </cell>
          <cell r="F97">
            <v>55</v>
          </cell>
          <cell r="G97">
            <v>62</v>
          </cell>
        </row>
        <row r="98">
          <cell r="A98">
            <v>97</v>
          </cell>
          <cell r="B98">
            <v>0.31819999999999998</v>
          </cell>
          <cell r="C98">
            <v>0.28000000000000003</v>
          </cell>
          <cell r="D98">
            <v>8.9599999999999999E-2</v>
          </cell>
          <cell r="E98">
            <v>4</v>
          </cell>
          <cell r="F98">
            <v>85</v>
          </cell>
          <cell r="G98">
            <v>89</v>
          </cell>
        </row>
        <row r="99">
          <cell r="A99">
            <v>98</v>
          </cell>
          <cell r="B99">
            <v>0.2273</v>
          </cell>
          <cell r="C99">
            <v>0.38</v>
          </cell>
          <cell r="D99">
            <v>0.19400000000000001</v>
          </cell>
          <cell r="E99">
            <v>4</v>
          </cell>
          <cell r="F99">
            <v>186</v>
          </cell>
          <cell r="G99">
            <v>190</v>
          </cell>
        </row>
        <row r="100">
          <cell r="A100">
            <v>99</v>
          </cell>
          <cell r="B100">
            <v>0.2424</v>
          </cell>
          <cell r="C100">
            <v>0.38</v>
          </cell>
          <cell r="D100">
            <v>0.1343</v>
          </cell>
          <cell r="E100">
            <v>3</v>
          </cell>
          <cell r="F100">
            <v>166</v>
          </cell>
          <cell r="G100">
            <v>169</v>
          </cell>
        </row>
        <row r="101">
          <cell r="A101">
            <v>100</v>
          </cell>
          <cell r="B101">
            <v>0.2576</v>
          </cell>
          <cell r="C101">
            <v>0.38</v>
          </cell>
          <cell r="D101">
            <v>0.1045</v>
          </cell>
          <cell r="E101">
            <v>5</v>
          </cell>
          <cell r="F101">
            <v>127</v>
          </cell>
          <cell r="G101">
            <v>132</v>
          </cell>
        </row>
        <row r="102">
          <cell r="A102">
            <v>101</v>
          </cell>
          <cell r="B102">
            <v>0.2273</v>
          </cell>
          <cell r="C102">
            <v>0.47</v>
          </cell>
          <cell r="D102">
            <v>0.16420000000000001</v>
          </cell>
          <cell r="E102">
            <v>7</v>
          </cell>
          <cell r="F102">
            <v>82</v>
          </cell>
          <cell r="G102">
            <v>89</v>
          </cell>
        </row>
        <row r="103">
          <cell r="A103">
            <v>102</v>
          </cell>
          <cell r="B103">
            <v>0.19700000000000001</v>
          </cell>
          <cell r="C103">
            <v>0.51</v>
          </cell>
          <cell r="D103">
            <v>0.19400000000000001</v>
          </cell>
          <cell r="E103">
            <v>3</v>
          </cell>
          <cell r="F103">
            <v>40</v>
          </cell>
          <cell r="G103">
            <v>43</v>
          </cell>
        </row>
        <row r="104">
          <cell r="A104">
            <v>103</v>
          </cell>
          <cell r="B104">
            <v>0.19700000000000001</v>
          </cell>
          <cell r="C104">
            <v>0.55000000000000004</v>
          </cell>
          <cell r="D104">
            <v>0.1343</v>
          </cell>
          <cell r="E104">
            <v>1</v>
          </cell>
          <cell r="F104">
            <v>41</v>
          </cell>
          <cell r="G104">
            <v>42</v>
          </cell>
        </row>
        <row r="105">
          <cell r="A105">
            <v>104</v>
          </cell>
          <cell r="B105">
            <v>0.2576</v>
          </cell>
          <cell r="C105">
            <v>0.47</v>
          </cell>
          <cell r="D105">
            <v>0</v>
          </cell>
          <cell r="E105">
            <v>1</v>
          </cell>
          <cell r="F105">
            <v>18</v>
          </cell>
          <cell r="G105">
            <v>19</v>
          </cell>
        </row>
        <row r="106">
          <cell r="A106">
            <v>105</v>
          </cell>
          <cell r="B106">
            <v>0.2424</v>
          </cell>
          <cell r="C106">
            <v>0.55000000000000004</v>
          </cell>
          <cell r="D106">
            <v>0</v>
          </cell>
          <cell r="E106">
            <v>0</v>
          </cell>
          <cell r="F106">
            <v>11</v>
          </cell>
          <cell r="G106">
            <v>11</v>
          </cell>
        </row>
        <row r="107">
          <cell r="A107">
            <v>106</v>
          </cell>
          <cell r="B107">
            <v>0.2273</v>
          </cell>
          <cell r="C107">
            <v>0.64</v>
          </cell>
          <cell r="D107">
            <v>0</v>
          </cell>
          <cell r="E107">
            <v>0</v>
          </cell>
          <cell r="F107">
            <v>4</v>
          </cell>
          <cell r="G107">
            <v>4</v>
          </cell>
        </row>
        <row r="108">
          <cell r="A108">
            <v>107</v>
          </cell>
          <cell r="B108">
            <v>0.2273</v>
          </cell>
          <cell r="C108">
            <v>0.64</v>
          </cell>
          <cell r="D108">
            <v>0</v>
          </cell>
          <cell r="E108">
            <v>0</v>
          </cell>
          <cell r="F108">
            <v>2</v>
          </cell>
          <cell r="G108">
            <v>2</v>
          </cell>
        </row>
        <row r="109">
          <cell r="A109">
            <v>108</v>
          </cell>
          <cell r="B109">
            <v>0.19700000000000001</v>
          </cell>
          <cell r="C109">
            <v>0.64</v>
          </cell>
          <cell r="D109">
            <v>8.9599999999999999E-2</v>
          </cell>
          <cell r="E109">
            <v>0</v>
          </cell>
          <cell r="F109">
            <v>1</v>
          </cell>
          <cell r="G109">
            <v>1</v>
          </cell>
        </row>
        <row r="110">
          <cell r="A110">
            <v>109</v>
          </cell>
          <cell r="B110">
            <v>0.18179999999999999</v>
          </cell>
          <cell r="C110">
            <v>0.69</v>
          </cell>
          <cell r="D110">
            <v>8.9599999999999999E-2</v>
          </cell>
          <cell r="E110">
            <v>0</v>
          </cell>
          <cell r="F110">
            <v>4</v>
          </cell>
          <cell r="G110">
            <v>4</v>
          </cell>
        </row>
        <row r="111">
          <cell r="A111">
            <v>110</v>
          </cell>
          <cell r="B111">
            <v>0.16669999999999999</v>
          </cell>
          <cell r="C111">
            <v>0.63</v>
          </cell>
          <cell r="D111">
            <v>0.1045</v>
          </cell>
          <cell r="E111">
            <v>0</v>
          </cell>
          <cell r="F111">
            <v>36</v>
          </cell>
          <cell r="G111">
            <v>36</v>
          </cell>
        </row>
        <row r="112">
          <cell r="A112">
            <v>111</v>
          </cell>
          <cell r="B112">
            <v>0.2273</v>
          </cell>
          <cell r="C112">
            <v>0.59</v>
          </cell>
          <cell r="D112">
            <v>0</v>
          </cell>
          <cell r="E112">
            <v>0</v>
          </cell>
          <cell r="F112">
            <v>95</v>
          </cell>
          <cell r="G112">
            <v>95</v>
          </cell>
        </row>
        <row r="113">
          <cell r="A113">
            <v>112</v>
          </cell>
          <cell r="B113">
            <v>0.2273</v>
          </cell>
          <cell r="C113">
            <v>0.59</v>
          </cell>
          <cell r="D113">
            <v>0</v>
          </cell>
          <cell r="E113">
            <v>3</v>
          </cell>
          <cell r="F113">
            <v>216</v>
          </cell>
          <cell r="G113">
            <v>219</v>
          </cell>
        </row>
        <row r="114">
          <cell r="A114">
            <v>113</v>
          </cell>
          <cell r="B114">
            <v>0.2424</v>
          </cell>
          <cell r="C114">
            <v>0.51</v>
          </cell>
          <cell r="D114">
            <v>0</v>
          </cell>
          <cell r="E114">
            <v>6</v>
          </cell>
          <cell r="F114">
            <v>116</v>
          </cell>
          <cell r="G114">
            <v>122</v>
          </cell>
        </row>
        <row r="115">
          <cell r="A115">
            <v>114</v>
          </cell>
          <cell r="B115">
            <v>0.2576</v>
          </cell>
          <cell r="C115">
            <v>0.47</v>
          </cell>
          <cell r="D115">
            <v>0</v>
          </cell>
          <cell r="E115">
            <v>3</v>
          </cell>
          <cell r="F115">
            <v>42</v>
          </cell>
          <cell r="G115">
            <v>45</v>
          </cell>
        </row>
        <row r="116">
          <cell r="A116">
            <v>115</v>
          </cell>
          <cell r="B116">
            <v>0.2576</v>
          </cell>
          <cell r="C116">
            <v>0.44</v>
          </cell>
          <cell r="D116">
            <v>8.9599999999999999E-2</v>
          </cell>
          <cell r="E116">
            <v>2</v>
          </cell>
          <cell r="F116">
            <v>57</v>
          </cell>
          <cell r="G116">
            <v>59</v>
          </cell>
        </row>
        <row r="117">
          <cell r="A117">
            <v>116</v>
          </cell>
          <cell r="B117">
            <v>0.28789999999999999</v>
          </cell>
          <cell r="C117">
            <v>0.35</v>
          </cell>
          <cell r="D117">
            <v>0</v>
          </cell>
          <cell r="E117">
            <v>6</v>
          </cell>
          <cell r="F117">
            <v>78</v>
          </cell>
          <cell r="G117">
            <v>84</v>
          </cell>
        </row>
        <row r="118">
          <cell r="A118">
            <v>117</v>
          </cell>
          <cell r="B118">
            <v>0.2727</v>
          </cell>
          <cell r="C118">
            <v>0.35</v>
          </cell>
          <cell r="D118">
            <v>0.1045</v>
          </cell>
          <cell r="E118">
            <v>12</v>
          </cell>
          <cell r="F118">
            <v>55</v>
          </cell>
          <cell r="G118">
            <v>67</v>
          </cell>
        </row>
        <row r="119">
          <cell r="A119">
            <v>118</v>
          </cell>
          <cell r="B119">
            <v>0.2727</v>
          </cell>
          <cell r="C119">
            <v>0.36</v>
          </cell>
          <cell r="D119">
            <v>0.16420000000000001</v>
          </cell>
          <cell r="E119">
            <v>11</v>
          </cell>
          <cell r="F119">
            <v>59</v>
          </cell>
          <cell r="G119">
            <v>70</v>
          </cell>
        </row>
        <row r="120">
          <cell r="A120">
            <v>119</v>
          </cell>
          <cell r="B120">
            <v>0.2727</v>
          </cell>
          <cell r="C120">
            <v>0.36</v>
          </cell>
          <cell r="D120">
            <v>0</v>
          </cell>
          <cell r="E120">
            <v>8</v>
          </cell>
          <cell r="F120">
            <v>54</v>
          </cell>
          <cell r="G120">
            <v>62</v>
          </cell>
        </row>
        <row r="121">
          <cell r="A121">
            <v>120</v>
          </cell>
          <cell r="B121">
            <v>0.2576</v>
          </cell>
          <cell r="C121">
            <v>0.38</v>
          </cell>
          <cell r="D121">
            <v>0.16420000000000001</v>
          </cell>
          <cell r="E121">
            <v>12</v>
          </cell>
          <cell r="F121">
            <v>74</v>
          </cell>
          <cell r="G121">
            <v>86</v>
          </cell>
        </row>
        <row r="122">
          <cell r="A122">
            <v>121</v>
          </cell>
          <cell r="B122">
            <v>0.2273</v>
          </cell>
          <cell r="C122">
            <v>0.51</v>
          </cell>
          <cell r="D122">
            <v>0.16420000000000001</v>
          </cell>
          <cell r="E122">
            <v>9</v>
          </cell>
          <cell r="F122">
            <v>163</v>
          </cell>
          <cell r="G122">
            <v>172</v>
          </cell>
        </row>
        <row r="123">
          <cell r="A123">
            <v>122</v>
          </cell>
          <cell r="B123">
            <v>0.2273</v>
          </cell>
          <cell r="C123">
            <v>0.51</v>
          </cell>
          <cell r="D123">
            <v>0.1343</v>
          </cell>
          <cell r="E123">
            <v>5</v>
          </cell>
          <cell r="F123">
            <v>158</v>
          </cell>
          <cell r="G123">
            <v>163</v>
          </cell>
        </row>
        <row r="124">
          <cell r="A124">
            <v>123</v>
          </cell>
          <cell r="B124">
            <v>0.2576</v>
          </cell>
          <cell r="C124">
            <v>0.55000000000000004</v>
          </cell>
          <cell r="D124">
            <v>8.9599999999999999E-2</v>
          </cell>
          <cell r="E124">
            <v>3</v>
          </cell>
          <cell r="F124">
            <v>109</v>
          </cell>
          <cell r="G124">
            <v>112</v>
          </cell>
        </row>
        <row r="125">
          <cell r="A125">
            <v>124</v>
          </cell>
          <cell r="B125">
            <v>0.21210000000000001</v>
          </cell>
          <cell r="C125">
            <v>0.51</v>
          </cell>
          <cell r="D125">
            <v>0.16420000000000001</v>
          </cell>
          <cell r="E125">
            <v>3</v>
          </cell>
          <cell r="F125">
            <v>66</v>
          </cell>
          <cell r="G125">
            <v>69</v>
          </cell>
        </row>
        <row r="126">
          <cell r="A126">
            <v>125</v>
          </cell>
          <cell r="B126">
            <v>0.21210000000000001</v>
          </cell>
          <cell r="C126">
            <v>0.55000000000000004</v>
          </cell>
          <cell r="D126">
            <v>0.22389999999999999</v>
          </cell>
          <cell r="E126">
            <v>0</v>
          </cell>
          <cell r="F126">
            <v>48</v>
          </cell>
          <cell r="G126">
            <v>48</v>
          </cell>
        </row>
        <row r="127">
          <cell r="A127">
            <v>126</v>
          </cell>
          <cell r="B127">
            <v>0.21210000000000001</v>
          </cell>
          <cell r="C127">
            <v>0.51</v>
          </cell>
          <cell r="D127">
            <v>0.28360000000000002</v>
          </cell>
          <cell r="E127">
            <v>1</v>
          </cell>
          <cell r="F127">
            <v>51</v>
          </cell>
          <cell r="G127">
            <v>52</v>
          </cell>
        </row>
        <row r="128">
          <cell r="A128">
            <v>127</v>
          </cell>
          <cell r="B128">
            <v>0.19700000000000001</v>
          </cell>
          <cell r="C128">
            <v>0.59</v>
          </cell>
          <cell r="D128">
            <v>0.19400000000000001</v>
          </cell>
          <cell r="E128">
            <v>4</v>
          </cell>
          <cell r="F128">
            <v>19</v>
          </cell>
          <cell r="G128">
            <v>23</v>
          </cell>
        </row>
        <row r="129">
          <cell r="A129">
            <v>128</v>
          </cell>
          <cell r="B129">
            <v>0.19700000000000001</v>
          </cell>
          <cell r="C129">
            <v>0.64</v>
          </cell>
          <cell r="D129">
            <v>0.19400000000000001</v>
          </cell>
          <cell r="E129">
            <v>4</v>
          </cell>
          <cell r="F129">
            <v>13</v>
          </cell>
          <cell r="G129">
            <v>17</v>
          </cell>
        </row>
        <row r="130">
          <cell r="A130">
            <v>129</v>
          </cell>
          <cell r="B130">
            <v>0.19700000000000001</v>
          </cell>
          <cell r="C130">
            <v>0.69</v>
          </cell>
          <cell r="D130">
            <v>0.22389999999999999</v>
          </cell>
          <cell r="E130">
            <v>2</v>
          </cell>
          <cell r="F130">
            <v>5</v>
          </cell>
          <cell r="G130">
            <v>7</v>
          </cell>
        </row>
        <row r="131">
          <cell r="A131">
            <v>130</v>
          </cell>
          <cell r="B131">
            <v>0.19700000000000001</v>
          </cell>
          <cell r="C131">
            <v>0.69</v>
          </cell>
          <cell r="D131">
            <v>0.22389999999999999</v>
          </cell>
          <cell r="E131">
            <v>0</v>
          </cell>
          <cell r="F131">
            <v>1</v>
          </cell>
          <cell r="G131">
            <v>1</v>
          </cell>
        </row>
        <row r="132">
          <cell r="A132">
            <v>131</v>
          </cell>
          <cell r="B132">
            <v>0.21210000000000001</v>
          </cell>
          <cell r="C132">
            <v>0.69</v>
          </cell>
          <cell r="D132">
            <v>0.1343</v>
          </cell>
          <cell r="E132">
            <v>0</v>
          </cell>
          <cell r="F132">
            <v>1</v>
          </cell>
          <cell r="G132">
            <v>1</v>
          </cell>
        </row>
        <row r="133">
          <cell r="A133">
            <v>132</v>
          </cell>
          <cell r="B133">
            <v>0.2727</v>
          </cell>
          <cell r="C133">
            <v>0.55000000000000004</v>
          </cell>
          <cell r="D133">
            <v>0</v>
          </cell>
          <cell r="E133">
            <v>0</v>
          </cell>
          <cell r="F133">
            <v>5</v>
          </cell>
          <cell r="G133">
            <v>5</v>
          </cell>
        </row>
        <row r="134">
          <cell r="A134">
            <v>133</v>
          </cell>
          <cell r="B134">
            <v>0.2576</v>
          </cell>
          <cell r="C134">
            <v>0.69</v>
          </cell>
          <cell r="D134">
            <v>0</v>
          </cell>
          <cell r="E134">
            <v>8</v>
          </cell>
          <cell r="F134">
            <v>26</v>
          </cell>
          <cell r="G134">
            <v>34</v>
          </cell>
        </row>
        <row r="135">
          <cell r="A135">
            <v>134</v>
          </cell>
          <cell r="B135">
            <v>0.21210000000000001</v>
          </cell>
          <cell r="C135">
            <v>0.69</v>
          </cell>
          <cell r="D135">
            <v>0.1343</v>
          </cell>
          <cell r="E135">
            <v>8</v>
          </cell>
          <cell r="F135">
            <v>76</v>
          </cell>
          <cell r="G135">
            <v>84</v>
          </cell>
        </row>
        <row r="136">
          <cell r="A136">
            <v>135</v>
          </cell>
          <cell r="B136">
            <v>0.19700000000000001</v>
          </cell>
          <cell r="C136">
            <v>0.51</v>
          </cell>
          <cell r="D136">
            <v>0.25369999999999998</v>
          </cell>
          <cell r="E136">
            <v>20</v>
          </cell>
          <cell r="F136">
            <v>190</v>
          </cell>
          <cell r="G136">
            <v>210</v>
          </cell>
        </row>
        <row r="137">
          <cell r="A137">
            <v>136</v>
          </cell>
          <cell r="B137">
            <v>0.18179999999999999</v>
          </cell>
          <cell r="C137">
            <v>0.47</v>
          </cell>
          <cell r="D137">
            <v>0.29849999999999999</v>
          </cell>
          <cell r="E137">
            <v>9</v>
          </cell>
          <cell r="F137">
            <v>125</v>
          </cell>
          <cell r="G137">
            <v>134</v>
          </cell>
        </row>
        <row r="138">
          <cell r="A138">
            <v>137</v>
          </cell>
          <cell r="B138">
            <v>0.19700000000000001</v>
          </cell>
          <cell r="C138">
            <v>0.37</v>
          </cell>
          <cell r="D138">
            <v>0.32840000000000003</v>
          </cell>
          <cell r="E138">
            <v>16</v>
          </cell>
          <cell r="F138">
            <v>47</v>
          </cell>
          <cell r="G138">
            <v>63</v>
          </cell>
        </row>
        <row r="139">
          <cell r="A139">
            <v>138</v>
          </cell>
          <cell r="B139">
            <v>0.19700000000000001</v>
          </cell>
          <cell r="C139">
            <v>0.4</v>
          </cell>
          <cell r="D139">
            <v>0.22389999999999999</v>
          </cell>
          <cell r="E139">
            <v>19</v>
          </cell>
          <cell r="F139">
            <v>48</v>
          </cell>
          <cell r="G139">
            <v>67</v>
          </cell>
        </row>
        <row r="140">
          <cell r="A140">
            <v>139</v>
          </cell>
          <cell r="B140">
            <v>0.19700000000000001</v>
          </cell>
          <cell r="C140">
            <v>0.37</v>
          </cell>
          <cell r="D140">
            <v>0.25369999999999998</v>
          </cell>
          <cell r="E140">
            <v>9</v>
          </cell>
          <cell r="F140">
            <v>50</v>
          </cell>
          <cell r="G140">
            <v>59</v>
          </cell>
        </row>
        <row r="141">
          <cell r="A141">
            <v>140</v>
          </cell>
          <cell r="B141">
            <v>0.18179999999999999</v>
          </cell>
          <cell r="C141">
            <v>0.37</v>
          </cell>
          <cell r="D141">
            <v>0.28360000000000002</v>
          </cell>
          <cell r="E141">
            <v>9</v>
          </cell>
          <cell r="F141">
            <v>64</v>
          </cell>
          <cell r="G141">
            <v>73</v>
          </cell>
        </row>
        <row r="142">
          <cell r="A142">
            <v>141</v>
          </cell>
          <cell r="B142">
            <v>0.19700000000000001</v>
          </cell>
          <cell r="C142">
            <v>0.4</v>
          </cell>
          <cell r="D142">
            <v>0.25369999999999998</v>
          </cell>
          <cell r="E142">
            <v>7</v>
          </cell>
          <cell r="F142">
            <v>43</v>
          </cell>
          <cell r="G142">
            <v>50</v>
          </cell>
        </row>
        <row r="143">
          <cell r="A143">
            <v>142</v>
          </cell>
          <cell r="B143">
            <v>0.21210000000000001</v>
          </cell>
          <cell r="C143">
            <v>0.37</v>
          </cell>
          <cell r="D143">
            <v>0.16420000000000001</v>
          </cell>
          <cell r="E143">
            <v>9</v>
          </cell>
          <cell r="F143">
            <v>63</v>
          </cell>
          <cell r="G143">
            <v>72</v>
          </cell>
        </row>
        <row r="144">
          <cell r="A144">
            <v>143</v>
          </cell>
          <cell r="B144">
            <v>0.21210000000000001</v>
          </cell>
          <cell r="C144">
            <v>0.37</v>
          </cell>
          <cell r="D144">
            <v>0.16420000000000001</v>
          </cell>
          <cell r="E144">
            <v>5</v>
          </cell>
          <cell r="F144">
            <v>82</v>
          </cell>
          <cell r="G144">
            <v>87</v>
          </cell>
        </row>
        <row r="145">
          <cell r="A145">
            <v>144</v>
          </cell>
          <cell r="B145">
            <v>0.2576</v>
          </cell>
          <cell r="C145">
            <v>0.37</v>
          </cell>
          <cell r="D145">
            <v>0</v>
          </cell>
          <cell r="E145">
            <v>9</v>
          </cell>
          <cell r="F145">
            <v>178</v>
          </cell>
          <cell r="G145">
            <v>187</v>
          </cell>
        </row>
        <row r="146">
          <cell r="A146">
            <v>145</v>
          </cell>
          <cell r="B146">
            <v>0.2273</v>
          </cell>
          <cell r="C146">
            <v>0.4</v>
          </cell>
          <cell r="D146">
            <v>8.9599999999999999E-2</v>
          </cell>
          <cell r="E146">
            <v>7</v>
          </cell>
          <cell r="F146">
            <v>116</v>
          </cell>
          <cell r="G146">
            <v>123</v>
          </cell>
        </row>
        <row r="147">
          <cell r="A147">
            <v>146</v>
          </cell>
          <cell r="B147">
            <v>0.19700000000000001</v>
          </cell>
          <cell r="C147">
            <v>0.55000000000000004</v>
          </cell>
          <cell r="D147">
            <v>8.9599999999999999E-2</v>
          </cell>
          <cell r="E147">
            <v>3</v>
          </cell>
          <cell r="F147">
            <v>92</v>
          </cell>
          <cell r="G147">
            <v>95</v>
          </cell>
        </row>
        <row r="148">
          <cell r="A148">
            <v>147</v>
          </cell>
          <cell r="B148">
            <v>0.21210000000000001</v>
          </cell>
          <cell r="C148">
            <v>0.47</v>
          </cell>
          <cell r="D148">
            <v>0.1045</v>
          </cell>
          <cell r="E148">
            <v>1</v>
          </cell>
          <cell r="F148">
            <v>50</v>
          </cell>
          <cell r="G148">
            <v>51</v>
          </cell>
        </row>
        <row r="149">
          <cell r="A149">
            <v>148</v>
          </cell>
          <cell r="B149">
            <v>0.19700000000000001</v>
          </cell>
          <cell r="C149">
            <v>0.47</v>
          </cell>
          <cell r="D149">
            <v>0.1343</v>
          </cell>
          <cell r="E149">
            <v>0</v>
          </cell>
          <cell r="F149">
            <v>39</v>
          </cell>
          <cell r="G149">
            <v>39</v>
          </cell>
        </row>
        <row r="150">
          <cell r="A150">
            <v>149</v>
          </cell>
          <cell r="B150">
            <v>0.19700000000000001</v>
          </cell>
          <cell r="C150">
            <v>0.43</v>
          </cell>
          <cell r="D150">
            <v>0.16420000000000001</v>
          </cell>
          <cell r="E150">
            <v>2</v>
          </cell>
          <cell r="F150">
            <v>34</v>
          </cell>
          <cell r="G150">
            <v>36</v>
          </cell>
        </row>
        <row r="151">
          <cell r="A151">
            <v>150</v>
          </cell>
          <cell r="B151">
            <v>0.19700000000000001</v>
          </cell>
          <cell r="C151">
            <v>0.51</v>
          </cell>
          <cell r="D151">
            <v>0.16420000000000001</v>
          </cell>
          <cell r="E151">
            <v>1</v>
          </cell>
          <cell r="F151">
            <v>14</v>
          </cell>
          <cell r="G151">
            <v>15</v>
          </cell>
        </row>
        <row r="152">
          <cell r="A152">
            <v>151</v>
          </cell>
          <cell r="B152">
            <v>0.19700000000000001</v>
          </cell>
          <cell r="C152">
            <v>0.51</v>
          </cell>
          <cell r="D152">
            <v>0.16420000000000001</v>
          </cell>
          <cell r="E152">
            <v>1</v>
          </cell>
          <cell r="F152">
            <v>24</v>
          </cell>
          <cell r="G152">
            <v>25</v>
          </cell>
        </row>
        <row r="153">
          <cell r="A153">
            <v>152</v>
          </cell>
          <cell r="B153">
            <v>0.21210000000000001</v>
          </cell>
          <cell r="C153">
            <v>0.55000000000000004</v>
          </cell>
          <cell r="D153">
            <v>8.9599999999999999E-2</v>
          </cell>
          <cell r="E153">
            <v>1</v>
          </cell>
          <cell r="F153">
            <v>15</v>
          </cell>
          <cell r="G153">
            <v>16</v>
          </cell>
        </row>
        <row r="154">
          <cell r="A154">
            <v>153</v>
          </cell>
          <cell r="B154">
            <v>0.2424</v>
          </cell>
          <cell r="C154">
            <v>0.55000000000000004</v>
          </cell>
          <cell r="D154">
            <v>0</v>
          </cell>
          <cell r="E154">
            <v>3</v>
          </cell>
          <cell r="F154">
            <v>13</v>
          </cell>
          <cell r="G154">
            <v>16</v>
          </cell>
        </row>
        <row r="155">
          <cell r="A155">
            <v>154</v>
          </cell>
          <cell r="B155">
            <v>0.19700000000000001</v>
          </cell>
          <cell r="C155">
            <v>0.55000000000000004</v>
          </cell>
          <cell r="D155">
            <v>0.16420000000000001</v>
          </cell>
          <cell r="E155">
            <v>0</v>
          </cell>
          <cell r="F155">
            <v>7</v>
          </cell>
          <cell r="G155">
            <v>7</v>
          </cell>
        </row>
        <row r="156">
          <cell r="A156">
            <v>155</v>
          </cell>
          <cell r="B156">
            <v>0.19700000000000001</v>
          </cell>
          <cell r="C156">
            <v>0.55000000000000004</v>
          </cell>
          <cell r="D156">
            <v>0.16420000000000001</v>
          </cell>
          <cell r="E156">
            <v>0</v>
          </cell>
          <cell r="F156">
            <v>1</v>
          </cell>
          <cell r="G156">
            <v>1</v>
          </cell>
        </row>
        <row r="157">
          <cell r="A157">
            <v>156</v>
          </cell>
          <cell r="B157">
            <v>0.16669999999999999</v>
          </cell>
          <cell r="C157">
            <v>0.74</v>
          </cell>
          <cell r="D157">
            <v>0.16420000000000001</v>
          </cell>
          <cell r="E157">
            <v>0</v>
          </cell>
          <cell r="F157">
            <v>5</v>
          </cell>
          <cell r="G157">
            <v>5</v>
          </cell>
        </row>
        <row r="158">
          <cell r="A158">
            <v>157</v>
          </cell>
          <cell r="B158">
            <v>0.16669999999999999</v>
          </cell>
          <cell r="C158">
            <v>0.74</v>
          </cell>
          <cell r="D158">
            <v>0.16420000000000001</v>
          </cell>
          <cell r="E158">
            <v>0</v>
          </cell>
          <cell r="F158">
            <v>2</v>
          </cell>
          <cell r="G158">
            <v>2</v>
          </cell>
        </row>
        <row r="159">
          <cell r="A159">
            <v>158</v>
          </cell>
          <cell r="B159">
            <v>0.18179999999999999</v>
          </cell>
          <cell r="C159">
            <v>0.74</v>
          </cell>
          <cell r="D159">
            <v>0.1045</v>
          </cell>
          <cell r="E159">
            <v>1</v>
          </cell>
          <cell r="F159">
            <v>8</v>
          </cell>
          <cell r="G159">
            <v>9</v>
          </cell>
        </row>
        <row r="160">
          <cell r="A160">
            <v>159</v>
          </cell>
          <cell r="B160">
            <v>0.18179999999999999</v>
          </cell>
          <cell r="C160">
            <v>0.93</v>
          </cell>
          <cell r="D160">
            <v>0.1045</v>
          </cell>
          <cell r="E160">
            <v>0</v>
          </cell>
          <cell r="F160">
            <v>15</v>
          </cell>
          <cell r="G160">
            <v>15</v>
          </cell>
        </row>
        <row r="161">
          <cell r="A161">
            <v>160</v>
          </cell>
          <cell r="B161">
            <v>0.18179999999999999</v>
          </cell>
          <cell r="C161">
            <v>0.93</v>
          </cell>
          <cell r="D161">
            <v>0.1045</v>
          </cell>
          <cell r="E161">
            <v>0</v>
          </cell>
          <cell r="F161">
            <v>20</v>
          </cell>
          <cell r="G161">
            <v>20</v>
          </cell>
        </row>
        <row r="162">
          <cell r="A162">
            <v>161</v>
          </cell>
          <cell r="B162">
            <v>0.19700000000000001</v>
          </cell>
          <cell r="C162">
            <v>0.8</v>
          </cell>
          <cell r="D162">
            <v>0.16420000000000001</v>
          </cell>
          <cell r="E162">
            <v>5</v>
          </cell>
          <cell r="F162">
            <v>56</v>
          </cell>
          <cell r="G162">
            <v>61</v>
          </cell>
        </row>
        <row r="163">
          <cell r="A163">
            <v>162</v>
          </cell>
          <cell r="B163">
            <v>0.18179999999999999</v>
          </cell>
          <cell r="C163">
            <v>0.69</v>
          </cell>
          <cell r="D163">
            <v>0.3881</v>
          </cell>
          <cell r="E163">
            <v>2</v>
          </cell>
          <cell r="F163">
            <v>60</v>
          </cell>
          <cell r="G163">
            <v>62</v>
          </cell>
        </row>
        <row r="164">
          <cell r="A164">
            <v>163</v>
          </cell>
          <cell r="B164">
            <v>0.18179999999999999</v>
          </cell>
          <cell r="C164">
            <v>0.59</v>
          </cell>
          <cell r="D164">
            <v>0.35820000000000002</v>
          </cell>
          <cell r="E164">
            <v>8</v>
          </cell>
          <cell r="F164">
            <v>90</v>
          </cell>
          <cell r="G164">
            <v>98</v>
          </cell>
        </row>
        <row r="165">
          <cell r="A165">
            <v>164</v>
          </cell>
          <cell r="B165">
            <v>0.18179999999999999</v>
          </cell>
          <cell r="C165">
            <v>0.44</v>
          </cell>
          <cell r="D165">
            <v>0.32840000000000003</v>
          </cell>
          <cell r="E165">
            <v>7</v>
          </cell>
          <cell r="F165">
            <v>95</v>
          </cell>
          <cell r="G165">
            <v>102</v>
          </cell>
        </row>
        <row r="166">
          <cell r="A166">
            <v>165</v>
          </cell>
          <cell r="B166">
            <v>0.16669999999999999</v>
          </cell>
          <cell r="C166">
            <v>0.32</v>
          </cell>
          <cell r="D166">
            <v>0.49249999999999999</v>
          </cell>
          <cell r="E166">
            <v>12</v>
          </cell>
          <cell r="F166">
            <v>83</v>
          </cell>
          <cell r="G166">
            <v>95</v>
          </cell>
        </row>
        <row r="167">
          <cell r="A167">
            <v>166</v>
          </cell>
          <cell r="B167">
            <v>0.16669999999999999</v>
          </cell>
          <cell r="C167">
            <v>0.32</v>
          </cell>
          <cell r="D167">
            <v>0.44779999999999998</v>
          </cell>
          <cell r="E167">
            <v>5</v>
          </cell>
          <cell r="F167">
            <v>69</v>
          </cell>
          <cell r="G167">
            <v>74</v>
          </cell>
        </row>
        <row r="168">
          <cell r="A168">
            <v>167</v>
          </cell>
          <cell r="B168">
            <v>0.13639999999999999</v>
          </cell>
          <cell r="C168">
            <v>0.28999999999999998</v>
          </cell>
          <cell r="D168">
            <v>0.44779999999999998</v>
          </cell>
          <cell r="E168">
            <v>8</v>
          </cell>
          <cell r="F168">
            <v>68</v>
          </cell>
          <cell r="G168">
            <v>76</v>
          </cell>
        </row>
        <row r="169">
          <cell r="A169">
            <v>168</v>
          </cell>
          <cell r="B169">
            <v>0.1212</v>
          </cell>
          <cell r="C169">
            <v>0.37</v>
          </cell>
          <cell r="D169">
            <v>0.55220000000000002</v>
          </cell>
          <cell r="E169">
            <v>5</v>
          </cell>
          <cell r="F169">
            <v>64</v>
          </cell>
          <cell r="G169">
            <v>69</v>
          </cell>
        </row>
        <row r="170">
          <cell r="A170">
            <v>169</v>
          </cell>
          <cell r="B170">
            <v>0.1212</v>
          </cell>
          <cell r="C170">
            <v>0.39</v>
          </cell>
          <cell r="D170">
            <v>0.29849999999999999</v>
          </cell>
          <cell r="E170">
            <v>3</v>
          </cell>
          <cell r="F170">
            <v>52</v>
          </cell>
          <cell r="G170">
            <v>55</v>
          </cell>
        </row>
        <row r="171">
          <cell r="A171">
            <v>170</v>
          </cell>
          <cell r="B171">
            <v>0.1212</v>
          </cell>
          <cell r="C171">
            <v>0.36</v>
          </cell>
          <cell r="D171">
            <v>0.25369999999999998</v>
          </cell>
          <cell r="E171">
            <v>4</v>
          </cell>
          <cell r="F171">
            <v>26</v>
          </cell>
          <cell r="G171">
            <v>30</v>
          </cell>
        </row>
        <row r="172">
          <cell r="A172">
            <v>171</v>
          </cell>
          <cell r="B172">
            <v>0.1212</v>
          </cell>
          <cell r="C172">
            <v>0.36</v>
          </cell>
          <cell r="D172">
            <v>0.25369999999999998</v>
          </cell>
          <cell r="E172">
            <v>0</v>
          </cell>
          <cell r="F172">
            <v>28</v>
          </cell>
          <cell r="G172">
            <v>28</v>
          </cell>
        </row>
        <row r="173">
          <cell r="A173">
            <v>172</v>
          </cell>
          <cell r="B173">
            <v>0.1061</v>
          </cell>
          <cell r="C173">
            <v>0.39</v>
          </cell>
          <cell r="D173">
            <v>0.35820000000000002</v>
          </cell>
          <cell r="E173">
            <v>2</v>
          </cell>
          <cell r="F173">
            <v>35</v>
          </cell>
          <cell r="G173">
            <v>37</v>
          </cell>
        </row>
        <row r="174">
          <cell r="A174">
            <v>173</v>
          </cell>
          <cell r="B174">
            <v>0.1061</v>
          </cell>
          <cell r="C174">
            <v>0.36</v>
          </cell>
          <cell r="D174">
            <v>0.3881</v>
          </cell>
          <cell r="E174">
            <v>1</v>
          </cell>
          <cell r="F174">
            <v>33</v>
          </cell>
          <cell r="G174">
            <v>34</v>
          </cell>
        </row>
        <row r="175">
          <cell r="A175">
            <v>174</v>
          </cell>
          <cell r="B175">
            <v>6.0600000000000001E-2</v>
          </cell>
          <cell r="C175">
            <v>0.39</v>
          </cell>
          <cell r="D175">
            <v>0.44779999999999998</v>
          </cell>
          <cell r="E175">
            <v>0</v>
          </cell>
          <cell r="F175">
            <v>22</v>
          </cell>
          <cell r="G175">
            <v>22</v>
          </cell>
        </row>
        <row r="176">
          <cell r="A176">
            <v>175</v>
          </cell>
          <cell r="B176">
            <v>7.5800000000000006E-2</v>
          </cell>
          <cell r="C176">
            <v>0.42</v>
          </cell>
          <cell r="D176">
            <v>0.3881</v>
          </cell>
          <cell r="E176">
            <v>1</v>
          </cell>
          <cell r="F176">
            <v>24</v>
          </cell>
          <cell r="G176">
            <v>25</v>
          </cell>
        </row>
        <row r="177">
          <cell r="A177">
            <v>176</v>
          </cell>
          <cell r="B177">
            <v>6.0600000000000001E-2</v>
          </cell>
          <cell r="C177">
            <v>0.42</v>
          </cell>
          <cell r="D177">
            <v>0.4627</v>
          </cell>
          <cell r="E177">
            <v>0</v>
          </cell>
          <cell r="F177">
            <v>12</v>
          </cell>
          <cell r="G177">
            <v>12</v>
          </cell>
        </row>
        <row r="178">
          <cell r="A178">
            <v>177</v>
          </cell>
          <cell r="B178">
            <v>6.0600000000000001E-2</v>
          </cell>
          <cell r="C178">
            <v>0.46</v>
          </cell>
          <cell r="D178">
            <v>0.4627</v>
          </cell>
          <cell r="E178">
            <v>0</v>
          </cell>
          <cell r="F178">
            <v>11</v>
          </cell>
          <cell r="G178">
            <v>11</v>
          </cell>
        </row>
        <row r="179">
          <cell r="A179">
            <v>178</v>
          </cell>
          <cell r="B179">
            <v>7.5800000000000006E-2</v>
          </cell>
          <cell r="C179">
            <v>0.46</v>
          </cell>
          <cell r="D179">
            <v>0.41789999999999999</v>
          </cell>
          <cell r="E179">
            <v>0</v>
          </cell>
          <cell r="F179">
            <v>4</v>
          </cell>
          <cell r="G179">
            <v>4</v>
          </cell>
        </row>
        <row r="180">
          <cell r="A180">
            <v>179</v>
          </cell>
          <cell r="B180">
            <v>9.0899999999999995E-2</v>
          </cell>
          <cell r="C180">
            <v>0.53</v>
          </cell>
          <cell r="D180">
            <v>0.19400000000000001</v>
          </cell>
          <cell r="E180">
            <v>0</v>
          </cell>
          <cell r="F180">
            <v>1</v>
          </cell>
          <cell r="G180">
            <v>1</v>
          </cell>
        </row>
        <row r="181">
          <cell r="A181">
            <v>180</v>
          </cell>
          <cell r="B181">
            <v>9.0899999999999995E-2</v>
          </cell>
          <cell r="C181">
            <v>0.53</v>
          </cell>
          <cell r="D181">
            <v>0.19400000000000001</v>
          </cell>
          <cell r="E181">
            <v>0</v>
          </cell>
          <cell r="F181">
            <v>1</v>
          </cell>
          <cell r="G181">
            <v>1</v>
          </cell>
        </row>
        <row r="182">
          <cell r="A182">
            <v>181</v>
          </cell>
          <cell r="B182">
            <v>9.0899999999999995E-2</v>
          </cell>
          <cell r="C182">
            <v>0.49</v>
          </cell>
          <cell r="D182">
            <v>0.28360000000000002</v>
          </cell>
          <cell r="E182">
            <v>0</v>
          </cell>
          <cell r="F182">
            <v>1</v>
          </cell>
          <cell r="G182">
            <v>1</v>
          </cell>
        </row>
        <row r="183">
          <cell r="A183">
            <v>182</v>
          </cell>
          <cell r="B183">
            <v>9.0899999999999995E-2</v>
          </cell>
          <cell r="C183">
            <v>0.53</v>
          </cell>
          <cell r="D183">
            <v>0.19400000000000001</v>
          </cell>
          <cell r="E183">
            <v>1</v>
          </cell>
          <cell r="F183">
            <v>5</v>
          </cell>
          <cell r="G183">
            <v>6</v>
          </cell>
        </row>
        <row r="184">
          <cell r="A184">
            <v>183</v>
          </cell>
          <cell r="B184">
            <v>9.0899999999999995E-2</v>
          </cell>
          <cell r="C184">
            <v>0.49</v>
          </cell>
          <cell r="D184">
            <v>0.28360000000000002</v>
          </cell>
          <cell r="E184">
            <v>0</v>
          </cell>
          <cell r="F184">
            <v>10</v>
          </cell>
          <cell r="G184">
            <v>10</v>
          </cell>
        </row>
        <row r="185">
          <cell r="A185">
            <v>184</v>
          </cell>
          <cell r="B185">
            <v>7.5800000000000006E-2</v>
          </cell>
          <cell r="C185">
            <v>0.46</v>
          </cell>
          <cell r="D185">
            <v>0.52239999999999998</v>
          </cell>
          <cell r="E185">
            <v>0</v>
          </cell>
          <cell r="F185">
            <v>19</v>
          </cell>
          <cell r="G185">
            <v>19</v>
          </cell>
        </row>
        <row r="186">
          <cell r="A186">
            <v>185</v>
          </cell>
          <cell r="B186">
            <v>0.1061</v>
          </cell>
          <cell r="C186">
            <v>0.43</v>
          </cell>
          <cell r="D186">
            <v>0.3881</v>
          </cell>
          <cell r="E186">
            <v>0</v>
          </cell>
          <cell r="F186">
            <v>49</v>
          </cell>
          <cell r="G186">
            <v>49</v>
          </cell>
        </row>
        <row r="187">
          <cell r="A187">
            <v>186</v>
          </cell>
          <cell r="B187">
            <v>0.1212</v>
          </cell>
          <cell r="C187">
            <v>0.4</v>
          </cell>
          <cell r="D187">
            <v>0.52239999999999998</v>
          </cell>
          <cell r="E187">
            <v>2</v>
          </cell>
          <cell r="F187">
            <v>47</v>
          </cell>
          <cell r="G187">
            <v>49</v>
          </cell>
        </row>
        <row r="188">
          <cell r="A188">
            <v>187</v>
          </cell>
          <cell r="B188">
            <v>0.13639999999999999</v>
          </cell>
          <cell r="C188">
            <v>0.37</v>
          </cell>
          <cell r="D188">
            <v>0.44779999999999998</v>
          </cell>
          <cell r="E188">
            <v>4</v>
          </cell>
          <cell r="F188">
            <v>79</v>
          </cell>
          <cell r="G188">
            <v>83</v>
          </cell>
        </row>
        <row r="189">
          <cell r="A189">
            <v>188</v>
          </cell>
          <cell r="B189">
            <v>0.16669999999999999</v>
          </cell>
          <cell r="C189">
            <v>0.34</v>
          </cell>
          <cell r="D189">
            <v>0.44779999999999998</v>
          </cell>
          <cell r="E189">
            <v>6</v>
          </cell>
          <cell r="F189">
            <v>69</v>
          </cell>
          <cell r="G189">
            <v>75</v>
          </cell>
        </row>
        <row r="190">
          <cell r="A190">
            <v>189</v>
          </cell>
          <cell r="B190">
            <v>0.18179999999999999</v>
          </cell>
          <cell r="C190">
            <v>0.32</v>
          </cell>
          <cell r="D190">
            <v>0.4627</v>
          </cell>
          <cell r="E190">
            <v>8</v>
          </cell>
          <cell r="F190">
            <v>64</v>
          </cell>
          <cell r="G190">
            <v>72</v>
          </cell>
        </row>
        <row r="191">
          <cell r="A191">
            <v>190</v>
          </cell>
          <cell r="B191">
            <v>0.19700000000000001</v>
          </cell>
          <cell r="C191">
            <v>0.35</v>
          </cell>
          <cell r="D191">
            <v>0.35820000000000002</v>
          </cell>
          <cell r="E191">
            <v>5</v>
          </cell>
          <cell r="F191">
            <v>77</v>
          </cell>
          <cell r="G191">
            <v>82</v>
          </cell>
        </row>
        <row r="192">
          <cell r="A192">
            <v>191</v>
          </cell>
          <cell r="B192">
            <v>0.16669999999999999</v>
          </cell>
          <cell r="C192">
            <v>0.34</v>
          </cell>
          <cell r="D192">
            <v>0.44779999999999998</v>
          </cell>
          <cell r="E192">
            <v>13</v>
          </cell>
          <cell r="F192">
            <v>79</v>
          </cell>
          <cell r="G192">
            <v>92</v>
          </cell>
        </row>
        <row r="193">
          <cell r="A193">
            <v>192</v>
          </cell>
          <cell r="B193">
            <v>0.1515</v>
          </cell>
          <cell r="C193">
            <v>0.37</v>
          </cell>
          <cell r="D193">
            <v>0.3881</v>
          </cell>
          <cell r="E193">
            <v>3</v>
          </cell>
          <cell r="F193">
            <v>59</v>
          </cell>
          <cell r="G193">
            <v>62</v>
          </cell>
        </row>
        <row r="194">
          <cell r="A194">
            <v>193</v>
          </cell>
          <cell r="B194">
            <v>0.13639999999999999</v>
          </cell>
          <cell r="C194">
            <v>0.4</v>
          </cell>
          <cell r="D194">
            <v>0.32840000000000003</v>
          </cell>
          <cell r="E194">
            <v>4</v>
          </cell>
          <cell r="F194">
            <v>44</v>
          </cell>
          <cell r="G194">
            <v>48</v>
          </cell>
        </row>
        <row r="195">
          <cell r="A195">
            <v>194</v>
          </cell>
          <cell r="B195">
            <v>0.13639999999999999</v>
          </cell>
          <cell r="C195">
            <v>0.43</v>
          </cell>
          <cell r="D195">
            <v>0.32840000000000003</v>
          </cell>
          <cell r="E195">
            <v>1</v>
          </cell>
          <cell r="F195">
            <v>40</v>
          </cell>
          <cell r="G195">
            <v>41</v>
          </cell>
        </row>
        <row r="196">
          <cell r="A196">
            <v>195</v>
          </cell>
          <cell r="B196">
            <v>0.1212</v>
          </cell>
          <cell r="C196">
            <v>0.46</v>
          </cell>
          <cell r="D196">
            <v>0.25369999999999998</v>
          </cell>
          <cell r="E196">
            <v>0</v>
          </cell>
          <cell r="F196">
            <v>38</v>
          </cell>
          <cell r="G196">
            <v>38</v>
          </cell>
        </row>
        <row r="197">
          <cell r="A197">
            <v>196</v>
          </cell>
          <cell r="B197">
            <v>0.1061</v>
          </cell>
          <cell r="C197">
            <v>0.46</v>
          </cell>
          <cell r="D197">
            <v>0.41789999999999999</v>
          </cell>
          <cell r="E197">
            <v>1</v>
          </cell>
          <cell r="F197">
            <v>19</v>
          </cell>
          <cell r="G197">
            <v>20</v>
          </cell>
        </row>
        <row r="198">
          <cell r="A198">
            <v>197</v>
          </cell>
          <cell r="B198">
            <v>0.1212</v>
          </cell>
          <cell r="C198">
            <v>0.46</v>
          </cell>
          <cell r="D198">
            <v>0.29849999999999999</v>
          </cell>
          <cell r="E198">
            <v>5</v>
          </cell>
          <cell r="F198">
            <v>10</v>
          </cell>
          <cell r="G198">
            <v>15</v>
          </cell>
        </row>
        <row r="199">
          <cell r="A199">
            <v>198</v>
          </cell>
          <cell r="B199">
            <v>0.13639999999999999</v>
          </cell>
          <cell r="C199">
            <v>0.5</v>
          </cell>
          <cell r="D199">
            <v>0.19400000000000001</v>
          </cell>
          <cell r="E199">
            <v>0</v>
          </cell>
          <cell r="F199">
            <v>6</v>
          </cell>
          <cell r="G199">
            <v>6</v>
          </cell>
        </row>
        <row r="200">
          <cell r="A200">
            <v>199</v>
          </cell>
          <cell r="B200">
            <v>0.1212</v>
          </cell>
          <cell r="C200">
            <v>0.5</v>
          </cell>
          <cell r="D200">
            <v>0.28360000000000002</v>
          </cell>
          <cell r="E200">
            <v>2</v>
          </cell>
          <cell r="F200">
            <v>3</v>
          </cell>
          <cell r="G200">
            <v>5</v>
          </cell>
        </row>
        <row r="201">
          <cell r="A201">
            <v>200</v>
          </cell>
          <cell r="B201">
            <v>0.1212</v>
          </cell>
          <cell r="C201">
            <v>0.5</v>
          </cell>
          <cell r="D201">
            <v>0.28360000000000002</v>
          </cell>
          <cell r="E201">
            <v>1</v>
          </cell>
          <cell r="F201">
            <v>0</v>
          </cell>
          <cell r="G201">
            <v>1</v>
          </cell>
        </row>
        <row r="202">
          <cell r="A202">
            <v>201</v>
          </cell>
          <cell r="B202">
            <v>0.1212</v>
          </cell>
          <cell r="C202">
            <v>0.5</v>
          </cell>
          <cell r="D202">
            <v>0.22389999999999999</v>
          </cell>
          <cell r="E202">
            <v>0</v>
          </cell>
          <cell r="F202">
            <v>3</v>
          </cell>
          <cell r="G202">
            <v>3</v>
          </cell>
        </row>
        <row r="203">
          <cell r="A203">
            <v>202</v>
          </cell>
          <cell r="B203">
            <v>0.1212</v>
          </cell>
          <cell r="C203">
            <v>0.5</v>
          </cell>
          <cell r="D203">
            <v>0.22389999999999999</v>
          </cell>
          <cell r="E203">
            <v>0</v>
          </cell>
          <cell r="F203">
            <v>1</v>
          </cell>
          <cell r="G203">
            <v>1</v>
          </cell>
        </row>
        <row r="204">
          <cell r="A204">
            <v>203</v>
          </cell>
          <cell r="B204">
            <v>0.1212</v>
          </cell>
          <cell r="C204">
            <v>0.54</v>
          </cell>
          <cell r="D204">
            <v>0.1343</v>
          </cell>
          <cell r="E204">
            <v>1</v>
          </cell>
          <cell r="F204">
            <v>2</v>
          </cell>
          <cell r="G204">
            <v>3</v>
          </cell>
        </row>
        <row r="205">
          <cell r="A205">
            <v>204</v>
          </cell>
          <cell r="B205">
            <v>0.1061</v>
          </cell>
          <cell r="C205">
            <v>0.54</v>
          </cell>
          <cell r="D205">
            <v>0.25369999999999998</v>
          </cell>
          <cell r="E205">
            <v>0</v>
          </cell>
          <cell r="F205">
            <v>3</v>
          </cell>
          <cell r="G205">
            <v>3</v>
          </cell>
        </row>
        <row r="206">
          <cell r="A206">
            <v>205</v>
          </cell>
          <cell r="B206">
            <v>0.1212</v>
          </cell>
          <cell r="C206">
            <v>0.5</v>
          </cell>
          <cell r="D206">
            <v>0.28360000000000002</v>
          </cell>
          <cell r="E206">
            <v>0</v>
          </cell>
          <cell r="F206">
            <v>31</v>
          </cell>
          <cell r="G206">
            <v>31</v>
          </cell>
        </row>
        <row r="207">
          <cell r="A207">
            <v>206</v>
          </cell>
          <cell r="B207">
            <v>0.1212</v>
          </cell>
          <cell r="C207">
            <v>0.5</v>
          </cell>
          <cell r="D207">
            <v>0.22389999999999999</v>
          </cell>
          <cell r="E207">
            <v>2</v>
          </cell>
          <cell r="F207">
            <v>75</v>
          </cell>
          <cell r="G207">
            <v>77</v>
          </cell>
        </row>
        <row r="208">
          <cell r="A208">
            <v>207</v>
          </cell>
          <cell r="B208">
            <v>0.1212</v>
          </cell>
          <cell r="C208">
            <v>0.5</v>
          </cell>
          <cell r="D208">
            <v>0.28360000000000002</v>
          </cell>
          <cell r="E208">
            <v>4</v>
          </cell>
          <cell r="F208">
            <v>184</v>
          </cell>
          <cell r="G208">
            <v>188</v>
          </cell>
        </row>
        <row r="209">
          <cell r="A209">
            <v>208</v>
          </cell>
          <cell r="B209">
            <v>0.1212</v>
          </cell>
          <cell r="C209">
            <v>0.5</v>
          </cell>
          <cell r="D209">
            <v>0.25369999999999998</v>
          </cell>
          <cell r="E209">
            <v>2</v>
          </cell>
          <cell r="F209">
            <v>92</v>
          </cell>
          <cell r="G209">
            <v>94</v>
          </cell>
        </row>
        <row r="210">
          <cell r="A210">
            <v>209</v>
          </cell>
          <cell r="B210">
            <v>0.1212</v>
          </cell>
          <cell r="C210">
            <v>0.5</v>
          </cell>
          <cell r="D210">
            <v>0.29849999999999999</v>
          </cell>
          <cell r="E210">
            <v>0</v>
          </cell>
          <cell r="F210">
            <v>31</v>
          </cell>
          <cell r="G210">
            <v>31</v>
          </cell>
        </row>
        <row r="211">
          <cell r="A211">
            <v>210</v>
          </cell>
          <cell r="B211">
            <v>0.13639999999999999</v>
          </cell>
          <cell r="C211">
            <v>0.47</v>
          </cell>
          <cell r="D211">
            <v>0.28360000000000002</v>
          </cell>
          <cell r="E211">
            <v>2</v>
          </cell>
          <cell r="F211">
            <v>28</v>
          </cell>
          <cell r="G211">
            <v>30</v>
          </cell>
        </row>
        <row r="212">
          <cell r="A212">
            <v>211</v>
          </cell>
          <cell r="B212">
            <v>0.18179999999999999</v>
          </cell>
          <cell r="C212">
            <v>0.4</v>
          </cell>
          <cell r="D212">
            <v>0.28360000000000002</v>
          </cell>
          <cell r="E212">
            <v>5</v>
          </cell>
          <cell r="F212">
            <v>47</v>
          </cell>
          <cell r="G212">
            <v>52</v>
          </cell>
        </row>
        <row r="213">
          <cell r="A213">
            <v>212</v>
          </cell>
          <cell r="B213">
            <v>0.18179999999999999</v>
          </cell>
          <cell r="C213">
            <v>0.4</v>
          </cell>
          <cell r="D213">
            <v>0.28360000000000002</v>
          </cell>
          <cell r="E213">
            <v>4</v>
          </cell>
          <cell r="F213">
            <v>50</v>
          </cell>
          <cell r="G213">
            <v>54</v>
          </cell>
        </row>
        <row r="214">
          <cell r="A214">
            <v>213</v>
          </cell>
          <cell r="B214">
            <v>0.19700000000000001</v>
          </cell>
          <cell r="C214">
            <v>0.4</v>
          </cell>
          <cell r="D214">
            <v>0.22389999999999999</v>
          </cell>
          <cell r="E214">
            <v>0</v>
          </cell>
          <cell r="F214">
            <v>47</v>
          </cell>
          <cell r="G214">
            <v>47</v>
          </cell>
        </row>
        <row r="215">
          <cell r="A215">
            <v>214</v>
          </cell>
          <cell r="B215">
            <v>0.19700000000000001</v>
          </cell>
          <cell r="C215">
            <v>0.4</v>
          </cell>
          <cell r="D215">
            <v>0.22389999999999999</v>
          </cell>
          <cell r="E215">
            <v>2</v>
          </cell>
          <cell r="F215">
            <v>43</v>
          </cell>
          <cell r="G215">
            <v>45</v>
          </cell>
        </row>
        <row r="216">
          <cell r="A216">
            <v>215</v>
          </cell>
          <cell r="B216">
            <v>0.21210000000000001</v>
          </cell>
          <cell r="C216">
            <v>0.4</v>
          </cell>
          <cell r="D216">
            <v>0.1343</v>
          </cell>
          <cell r="E216">
            <v>4</v>
          </cell>
          <cell r="F216">
            <v>70</v>
          </cell>
          <cell r="G216">
            <v>74</v>
          </cell>
        </row>
        <row r="217">
          <cell r="A217">
            <v>216</v>
          </cell>
          <cell r="B217">
            <v>0.2273</v>
          </cell>
          <cell r="C217">
            <v>0.4</v>
          </cell>
          <cell r="D217">
            <v>0.1045</v>
          </cell>
          <cell r="E217">
            <v>4</v>
          </cell>
          <cell r="F217">
            <v>174</v>
          </cell>
          <cell r="G217">
            <v>178</v>
          </cell>
        </row>
        <row r="218">
          <cell r="A218">
            <v>217</v>
          </cell>
          <cell r="B218">
            <v>0.19700000000000001</v>
          </cell>
          <cell r="C218">
            <v>0.4</v>
          </cell>
          <cell r="D218">
            <v>0.22389999999999999</v>
          </cell>
          <cell r="E218">
            <v>1</v>
          </cell>
          <cell r="F218">
            <v>154</v>
          </cell>
          <cell r="G218">
            <v>155</v>
          </cell>
        </row>
        <row r="219">
          <cell r="A219">
            <v>218</v>
          </cell>
          <cell r="B219">
            <v>0.16669999999999999</v>
          </cell>
          <cell r="C219">
            <v>0.47</v>
          </cell>
          <cell r="D219">
            <v>0.16420000000000001</v>
          </cell>
          <cell r="E219">
            <v>3</v>
          </cell>
          <cell r="F219">
            <v>92</v>
          </cell>
          <cell r="G219">
            <v>95</v>
          </cell>
        </row>
        <row r="220">
          <cell r="A220">
            <v>219</v>
          </cell>
          <cell r="B220">
            <v>0.16669999999999999</v>
          </cell>
          <cell r="C220">
            <v>0.5</v>
          </cell>
          <cell r="D220">
            <v>0.16420000000000001</v>
          </cell>
          <cell r="E220">
            <v>1</v>
          </cell>
          <cell r="F220">
            <v>73</v>
          </cell>
          <cell r="G220">
            <v>74</v>
          </cell>
        </row>
        <row r="221">
          <cell r="A221">
            <v>220</v>
          </cell>
          <cell r="B221">
            <v>0.13639999999999999</v>
          </cell>
          <cell r="C221">
            <v>0.59</v>
          </cell>
          <cell r="D221">
            <v>0.19400000000000001</v>
          </cell>
          <cell r="E221">
            <v>1</v>
          </cell>
          <cell r="F221">
            <v>37</v>
          </cell>
          <cell r="G221">
            <v>38</v>
          </cell>
        </row>
        <row r="222">
          <cell r="A222">
            <v>221</v>
          </cell>
          <cell r="B222">
            <v>0.1515</v>
          </cell>
          <cell r="C222">
            <v>0.59</v>
          </cell>
          <cell r="D222">
            <v>0.16420000000000001</v>
          </cell>
          <cell r="E222">
            <v>2</v>
          </cell>
          <cell r="F222">
            <v>22</v>
          </cell>
          <cell r="G222">
            <v>24</v>
          </cell>
        </row>
        <row r="223">
          <cell r="A223">
            <v>222</v>
          </cell>
          <cell r="B223">
            <v>0.1515</v>
          </cell>
          <cell r="C223">
            <v>0.59</v>
          </cell>
          <cell r="D223">
            <v>0.16420000000000001</v>
          </cell>
          <cell r="E223">
            <v>0</v>
          </cell>
          <cell r="F223">
            <v>18</v>
          </cell>
          <cell r="G223">
            <v>18</v>
          </cell>
        </row>
        <row r="224">
          <cell r="A224">
            <v>223</v>
          </cell>
          <cell r="B224">
            <v>0.16669999999999999</v>
          </cell>
          <cell r="C224">
            <v>0.59</v>
          </cell>
          <cell r="D224">
            <v>0.1045</v>
          </cell>
          <cell r="E224">
            <v>2</v>
          </cell>
          <cell r="F224">
            <v>10</v>
          </cell>
          <cell r="G224">
            <v>12</v>
          </cell>
        </row>
        <row r="225">
          <cell r="A225">
            <v>224</v>
          </cell>
          <cell r="B225">
            <v>0.1515</v>
          </cell>
          <cell r="C225">
            <v>0.59</v>
          </cell>
          <cell r="D225">
            <v>0.16420000000000001</v>
          </cell>
          <cell r="E225">
            <v>0</v>
          </cell>
          <cell r="F225">
            <v>3</v>
          </cell>
          <cell r="G225">
            <v>3</v>
          </cell>
        </row>
        <row r="226">
          <cell r="A226">
            <v>225</v>
          </cell>
          <cell r="B226">
            <v>0.1515</v>
          </cell>
          <cell r="C226">
            <v>0.55000000000000004</v>
          </cell>
          <cell r="D226">
            <v>0.19400000000000001</v>
          </cell>
          <cell r="E226">
            <v>0</v>
          </cell>
          <cell r="F226">
            <v>3</v>
          </cell>
          <cell r="G226">
            <v>3</v>
          </cell>
        </row>
        <row r="227">
          <cell r="A227">
            <v>226</v>
          </cell>
          <cell r="B227">
            <v>0.18179999999999999</v>
          </cell>
          <cell r="C227">
            <v>0.55000000000000004</v>
          </cell>
          <cell r="D227">
            <v>0.1343</v>
          </cell>
          <cell r="E227">
            <v>0</v>
          </cell>
          <cell r="F227">
            <v>6</v>
          </cell>
          <cell r="G227">
            <v>6</v>
          </cell>
        </row>
        <row r="228">
          <cell r="A228">
            <v>227</v>
          </cell>
          <cell r="B228">
            <v>0.18179999999999999</v>
          </cell>
          <cell r="C228">
            <v>0.55000000000000004</v>
          </cell>
          <cell r="D228">
            <v>0.1343</v>
          </cell>
          <cell r="E228">
            <v>0</v>
          </cell>
          <cell r="F228">
            <v>27</v>
          </cell>
          <cell r="G228">
            <v>27</v>
          </cell>
        </row>
        <row r="229">
          <cell r="A229">
            <v>228</v>
          </cell>
          <cell r="B229">
            <v>0.2273</v>
          </cell>
          <cell r="C229">
            <v>0.55000000000000004</v>
          </cell>
          <cell r="D229">
            <v>0</v>
          </cell>
          <cell r="E229">
            <v>2</v>
          </cell>
          <cell r="F229">
            <v>97</v>
          </cell>
          <cell r="G229">
            <v>99</v>
          </cell>
        </row>
        <row r="230">
          <cell r="A230">
            <v>229</v>
          </cell>
          <cell r="B230">
            <v>0.21210000000000001</v>
          </cell>
          <cell r="C230">
            <v>0.51</v>
          </cell>
          <cell r="D230">
            <v>8.9599999999999999E-2</v>
          </cell>
          <cell r="E230">
            <v>3</v>
          </cell>
          <cell r="F230">
            <v>214</v>
          </cell>
          <cell r="G230">
            <v>217</v>
          </cell>
        </row>
        <row r="231">
          <cell r="A231">
            <v>230</v>
          </cell>
          <cell r="B231">
            <v>0.19700000000000001</v>
          </cell>
          <cell r="C231">
            <v>0.51</v>
          </cell>
          <cell r="D231">
            <v>0.16420000000000001</v>
          </cell>
          <cell r="E231">
            <v>3</v>
          </cell>
          <cell r="F231">
            <v>127</v>
          </cell>
          <cell r="G231">
            <v>130</v>
          </cell>
        </row>
        <row r="232">
          <cell r="A232">
            <v>231</v>
          </cell>
          <cell r="B232">
            <v>0.21210000000000001</v>
          </cell>
          <cell r="C232">
            <v>0.51</v>
          </cell>
          <cell r="D232">
            <v>0.16420000000000001</v>
          </cell>
          <cell r="E232">
            <v>3</v>
          </cell>
          <cell r="F232">
            <v>51</v>
          </cell>
          <cell r="G232">
            <v>54</v>
          </cell>
        </row>
        <row r="233">
          <cell r="A233">
            <v>232</v>
          </cell>
          <cell r="B233">
            <v>0.21210000000000001</v>
          </cell>
          <cell r="C233">
            <v>0.47</v>
          </cell>
          <cell r="D233">
            <v>0.1343</v>
          </cell>
          <cell r="E233">
            <v>4</v>
          </cell>
          <cell r="F233">
            <v>31</v>
          </cell>
          <cell r="G233">
            <v>35</v>
          </cell>
        </row>
        <row r="234">
          <cell r="A234">
            <v>233</v>
          </cell>
          <cell r="B234">
            <v>0.2273</v>
          </cell>
          <cell r="C234">
            <v>0.51</v>
          </cell>
          <cell r="D234">
            <v>0.1045</v>
          </cell>
          <cell r="E234">
            <v>2</v>
          </cell>
          <cell r="F234">
            <v>55</v>
          </cell>
          <cell r="G234">
            <v>57</v>
          </cell>
        </row>
        <row r="235">
          <cell r="A235">
            <v>234</v>
          </cell>
          <cell r="B235">
            <v>0.2273</v>
          </cell>
          <cell r="C235">
            <v>0.59</v>
          </cell>
          <cell r="D235">
            <v>8.9599999999999999E-2</v>
          </cell>
          <cell r="E235">
            <v>6</v>
          </cell>
          <cell r="F235">
            <v>46</v>
          </cell>
          <cell r="G235">
            <v>52</v>
          </cell>
        </row>
        <row r="236">
          <cell r="A236">
            <v>235</v>
          </cell>
          <cell r="B236">
            <v>0.2273</v>
          </cell>
          <cell r="C236">
            <v>0.59</v>
          </cell>
          <cell r="D236">
            <v>8.9599999999999999E-2</v>
          </cell>
          <cell r="E236">
            <v>3</v>
          </cell>
          <cell r="F236">
            <v>60</v>
          </cell>
          <cell r="G236">
            <v>63</v>
          </cell>
        </row>
        <row r="237">
          <cell r="A237">
            <v>236</v>
          </cell>
          <cell r="B237">
            <v>0.19700000000000001</v>
          </cell>
          <cell r="C237">
            <v>0.8</v>
          </cell>
          <cell r="D237">
            <v>8.9599999999999999E-2</v>
          </cell>
          <cell r="E237">
            <v>2</v>
          </cell>
          <cell r="F237">
            <v>45</v>
          </cell>
          <cell r="G237">
            <v>47</v>
          </cell>
        </row>
        <row r="238">
          <cell r="A238">
            <v>237</v>
          </cell>
          <cell r="B238">
            <v>0.1515</v>
          </cell>
          <cell r="C238">
            <v>0.86</v>
          </cell>
          <cell r="D238">
            <v>0.22389999999999999</v>
          </cell>
          <cell r="E238">
            <v>4</v>
          </cell>
          <cell r="F238">
            <v>72</v>
          </cell>
          <cell r="G238">
            <v>76</v>
          </cell>
        </row>
        <row r="239">
          <cell r="A239">
            <v>238</v>
          </cell>
          <cell r="B239">
            <v>0.1515</v>
          </cell>
          <cell r="C239">
            <v>0.86</v>
          </cell>
          <cell r="D239">
            <v>0.22389999999999999</v>
          </cell>
          <cell r="E239">
            <v>6</v>
          </cell>
          <cell r="F239">
            <v>130</v>
          </cell>
          <cell r="G239">
            <v>136</v>
          </cell>
        </row>
        <row r="240">
          <cell r="A240">
            <v>239</v>
          </cell>
          <cell r="B240">
            <v>0.18179999999999999</v>
          </cell>
          <cell r="C240">
            <v>0.93</v>
          </cell>
          <cell r="D240">
            <v>0.1045</v>
          </cell>
          <cell r="E240">
            <v>1</v>
          </cell>
          <cell r="F240">
            <v>94</v>
          </cell>
          <cell r="G240">
            <v>95</v>
          </cell>
        </row>
        <row r="241">
          <cell r="A241">
            <v>240</v>
          </cell>
          <cell r="B241">
            <v>0.2273</v>
          </cell>
          <cell r="C241">
            <v>0.93</v>
          </cell>
          <cell r="D241">
            <v>0</v>
          </cell>
          <cell r="E241">
            <v>0</v>
          </cell>
          <cell r="F241">
            <v>51</v>
          </cell>
          <cell r="G241">
            <v>51</v>
          </cell>
        </row>
        <row r="242">
          <cell r="A242">
            <v>241</v>
          </cell>
          <cell r="B242">
            <v>0.1515</v>
          </cell>
          <cell r="C242">
            <v>0.93</v>
          </cell>
          <cell r="D242">
            <v>0.19400000000000001</v>
          </cell>
          <cell r="E242">
            <v>0</v>
          </cell>
          <cell r="F242">
            <v>32</v>
          </cell>
          <cell r="G242">
            <v>32</v>
          </cell>
        </row>
        <row r="243">
          <cell r="A243">
            <v>242</v>
          </cell>
          <cell r="B243">
            <v>0.19700000000000001</v>
          </cell>
          <cell r="C243">
            <v>0.86</v>
          </cell>
          <cell r="D243">
            <v>8.9599999999999999E-2</v>
          </cell>
          <cell r="E243">
            <v>0</v>
          </cell>
          <cell r="F243">
            <v>20</v>
          </cell>
          <cell r="G243">
            <v>20</v>
          </cell>
        </row>
        <row r="244">
          <cell r="A244">
            <v>243</v>
          </cell>
          <cell r="B244">
            <v>0.18179999999999999</v>
          </cell>
          <cell r="C244">
            <v>0.93</v>
          </cell>
          <cell r="D244">
            <v>0.1045</v>
          </cell>
          <cell r="E244">
            <v>1</v>
          </cell>
          <cell r="F244">
            <v>28</v>
          </cell>
          <cell r="G244">
            <v>29</v>
          </cell>
        </row>
        <row r="245">
          <cell r="A245">
            <v>244</v>
          </cell>
          <cell r="B245">
            <v>0.19700000000000001</v>
          </cell>
          <cell r="C245">
            <v>0.93</v>
          </cell>
          <cell r="D245">
            <v>8.9599999999999999E-2</v>
          </cell>
          <cell r="E245">
            <v>1</v>
          </cell>
          <cell r="F245">
            <v>18</v>
          </cell>
          <cell r="G245">
            <v>19</v>
          </cell>
        </row>
        <row r="246">
          <cell r="A246">
            <v>245</v>
          </cell>
          <cell r="B246">
            <v>0.19700000000000001</v>
          </cell>
          <cell r="C246">
            <v>0.86</v>
          </cell>
          <cell r="D246">
            <v>8.9599999999999999E-2</v>
          </cell>
          <cell r="E246">
            <v>0</v>
          </cell>
          <cell r="F246">
            <v>7</v>
          </cell>
          <cell r="G246">
            <v>7</v>
          </cell>
        </row>
        <row r="247">
          <cell r="A247">
            <v>246</v>
          </cell>
          <cell r="B247">
            <v>0.18179999999999999</v>
          </cell>
          <cell r="C247">
            <v>0.86</v>
          </cell>
          <cell r="D247">
            <v>0.1045</v>
          </cell>
          <cell r="E247">
            <v>0</v>
          </cell>
          <cell r="F247">
            <v>6</v>
          </cell>
          <cell r="G247">
            <v>6</v>
          </cell>
        </row>
        <row r="248">
          <cell r="A248">
            <v>247</v>
          </cell>
          <cell r="B248">
            <v>0.1515</v>
          </cell>
          <cell r="C248">
            <v>0.86</v>
          </cell>
          <cell r="D248">
            <v>0.1343</v>
          </cell>
          <cell r="E248">
            <v>0</v>
          </cell>
          <cell r="F248">
            <v>1</v>
          </cell>
          <cell r="G248">
            <v>1</v>
          </cell>
        </row>
        <row r="249">
          <cell r="A249">
            <v>248</v>
          </cell>
          <cell r="B249">
            <v>0.1515</v>
          </cell>
          <cell r="C249">
            <v>0.86</v>
          </cell>
          <cell r="D249">
            <v>0.16420000000000001</v>
          </cell>
          <cell r="E249">
            <v>0</v>
          </cell>
          <cell r="F249">
            <v>5</v>
          </cell>
          <cell r="G249">
            <v>5</v>
          </cell>
        </row>
        <row r="250">
          <cell r="A250">
            <v>249</v>
          </cell>
          <cell r="B250">
            <v>0.1515</v>
          </cell>
          <cell r="C250">
            <v>0.93</v>
          </cell>
          <cell r="D250">
            <v>0.1343</v>
          </cell>
          <cell r="E250">
            <v>0</v>
          </cell>
          <cell r="F250">
            <v>16</v>
          </cell>
          <cell r="G250">
            <v>16</v>
          </cell>
        </row>
        <row r="251">
          <cell r="A251">
            <v>250</v>
          </cell>
          <cell r="B251">
            <v>0.1515</v>
          </cell>
          <cell r="C251">
            <v>0.69</v>
          </cell>
          <cell r="D251">
            <v>0.1343</v>
          </cell>
          <cell r="E251">
            <v>0</v>
          </cell>
          <cell r="F251">
            <v>54</v>
          </cell>
          <cell r="G251">
            <v>54</v>
          </cell>
        </row>
        <row r="252">
          <cell r="A252">
            <v>251</v>
          </cell>
          <cell r="B252">
            <v>0.16669999999999999</v>
          </cell>
          <cell r="C252">
            <v>0.59</v>
          </cell>
          <cell r="D252">
            <v>0.16420000000000001</v>
          </cell>
          <cell r="E252">
            <v>3</v>
          </cell>
          <cell r="F252">
            <v>125</v>
          </cell>
          <cell r="G252">
            <v>128</v>
          </cell>
        </row>
        <row r="253">
          <cell r="A253">
            <v>252</v>
          </cell>
          <cell r="B253">
            <v>0.13639999999999999</v>
          </cell>
          <cell r="C253">
            <v>0.59</v>
          </cell>
          <cell r="D253">
            <v>0.32840000000000003</v>
          </cell>
          <cell r="E253">
            <v>3</v>
          </cell>
          <cell r="F253">
            <v>78</v>
          </cell>
          <cell r="G253">
            <v>81</v>
          </cell>
        </row>
        <row r="254">
          <cell r="A254">
            <v>253</v>
          </cell>
          <cell r="B254">
            <v>0.18179999999999999</v>
          </cell>
          <cell r="C254">
            <v>0.55000000000000004</v>
          </cell>
          <cell r="D254">
            <v>0.22389999999999999</v>
          </cell>
          <cell r="E254">
            <v>0</v>
          </cell>
          <cell r="F254">
            <v>39</v>
          </cell>
          <cell r="G254">
            <v>39</v>
          </cell>
        </row>
        <row r="255">
          <cell r="A255">
            <v>254</v>
          </cell>
          <cell r="B255">
            <v>0.18179999999999999</v>
          </cell>
          <cell r="C255">
            <v>0.51</v>
          </cell>
          <cell r="D255">
            <v>0.3881</v>
          </cell>
          <cell r="E255">
            <v>3</v>
          </cell>
          <cell r="F255">
            <v>32</v>
          </cell>
          <cell r="G255">
            <v>35</v>
          </cell>
        </row>
        <row r="256">
          <cell r="A256">
            <v>255</v>
          </cell>
          <cell r="B256">
            <v>0.1515</v>
          </cell>
          <cell r="C256">
            <v>0.47</v>
          </cell>
          <cell r="D256">
            <v>0.58209999999999995</v>
          </cell>
          <cell r="E256">
            <v>3</v>
          </cell>
          <cell r="F256">
            <v>52</v>
          </cell>
          <cell r="G256">
            <v>55</v>
          </cell>
        </row>
        <row r="257">
          <cell r="A257">
            <v>256</v>
          </cell>
          <cell r="B257">
            <v>0.19700000000000001</v>
          </cell>
          <cell r="C257">
            <v>0.44</v>
          </cell>
          <cell r="D257">
            <v>0.35820000000000002</v>
          </cell>
          <cell r="E257">
            <v>0</v>
          </cell>
          <cell r="F257">
            <v>49</v>
          </cell>
          <cell r="G257">
            <v>49</v>
          </cell>
        </row>
        <row r="258">
          <cell r="A258">
            <v>257</v>
          </cell>
          <cell r="B258">
            <v>0.18179999999999999</v>
          </cell>
          <cell r="C258">
            <v>0.47</v>
          </cell>
          <cell r="D258">
            <v>0.32840000000000003</v>
          </cell>
          <cell r="E258">
            <v>0</v>
          </cell>
          <cell r="F258">
            <v>44</v>
          </cell>
          <cell r="G258">
            <v>44</v>
          </cell>
        </row>
        <row r="259">
          <cell r="A259">
            <v>258</v>
          </cell>
          <cell r="B259">
            <v>0.16669999999999999</v>
          </cell>
          <cell r="C259">
            <v>0.47</v>
          </cell>
          <cell r="D259">
            <v>0.41789999999999999</v>
          </cell>
          <cell r="E259">
            <v>1</v>
          </cell>
          <cell r="F259">
            <v>48</v>
          </cell>
          <cell r="G259">
            <v>49</v>
          </cell>
        </row>
        <row r="260">
          <cell r="A260">
            <v>259</v>
          </cell>
          <cell r="B260">
            <v>0.19700000000000001</v>
          </cell>
          <cell r="C260">
            <v>0.44</v>
          </cell>
          <cell r="D260">
            <v>0.32840000000000003</v>
          </cell>
          <cell r="E260">
            <v>5</v>
          </cell>
          <cell r="F260">
            <v>63</v>
          </cell>
          <cell r="G260">
            <v>68</v>
          </cell>
        </row>
        <row r="261">
          <cell r="A261">
            <v>260</v>
          </cell>
          <cell r="B261">
            <v>0.18179999999999999</v>
          </cell>
          <cell r="C261">
            <v>0.47</v>
          </cell>
          <cell r="D261">
            <v>0.35820000000000002</v>
          </cell>
          <cell r="E261">
            <v>0</v>
          </cell>
          <cell r="F261">
            <v>139</v>
          </cell>
          <cell r="G261">
            <v>139</v>
          </cell>
        </row>
        <row r="262">
          <cell r="A262">
            <v>261</v>
          </cell>
          <cell r="B262">
            <v>0.1515</v>
          </cell>
          <cell r="C262">
            <v>0.47</v>
          </cell>
          <cell r="D262">
            <v>0.52239999999999998</v>
          </cell>
          <cell r="E262">
            <v>2</v>
          </cell>
          <cell r="F262">
            <v>135</v>
          </cell>
          <cell r="G262">
            <v>137</v>
          </cell>
        </row>
        <row r="263">
          <cell r="A263">
            <v>262</v>
          </cell>
          <cell r="B263">
            <v>0.1515</v>
          </cell>
          <cell r="C263">
            <v>0.47</v>
          </cell>
          <cell r="D263">
            <v>0.41789999999999999</v>
          </cell>
          <cell r="E263">
            <v>1</v>
          </cell>
          <cell r="F263">
            <v>82</v>
          </cell>
          <cell r="G263">
            <v>83</v>
          </cell>
        </row>
        <row r="264">
          <cell r="A264">
            <v>263</v>
          </cell>
          <cell r="B264">
            <v>0.13639999999999999</v>
          </cell>
          <cell r="C264">
            <v>0.5</v>
          </cell>
          <cell r="D264">
            <v>0.32840000000000003</v>
          </cell>
          <cell r="E264">
            <v>2</v>
          </cell>
          <cell r="F264">
            <v>54</v>
          </cell>
          <cell r="G264">
            <v>56</v>
          </cell>
        </row>
        <row r="265">
          <cell r="A265">
            <v>264</v>
          </cell>
          <cell r="B265">
            <v>0.13639999999999999</v>
          </cell>
          <cell r="C265">
            <v>0.55000000000000004</v>
          </cell>
          <cell r="D265">
            <v>0.32840000000000003</v>
          </cell>
          <cell r="E265">
            <v>0</v>
          </cell>
          <cell r="F265">
            <v>57</v>
          </cell>
          <cell r="G265">
            <v>57</v>
          </cell>
        </row>
        <row r="266">
          <cell r="A266">
            <v>265</v>
          </cell>
          <cell r="B266">
            <v>0.1212</v>
          </cell>
          <cell r="C266">
            <v>0.55000000000000004</v>
          </cell>
          <cell r="D266">
            <v>0.44779999999999998</v>
          </cell>
          <cell r="E266">
            <v>1</v>
          </cell>
          <cell r="F266">
            <v>32</v>
          </cell>
          <cell r="G266">
            <v>33</v>
          </cell>
        </row>
        <row r="267">
          <cell r="A267">
            <v>266</v>
          </cell>
          <cell r="B267">
            <v>0.1061</v>
          </cell>
          <cell r="C267">
            <v>0.59</v>
          </cell>
          <cell r="D267">
            <v>0.41789999999999999</v>
          </cell>
          <cell r="E267">
            <v>1</v>
          </cell>
          <cell r="F267">
            <v>19</v>
          </cell>
          <cell r="G267">
            <v>20</v>
          </cell>
        </row>
        <row r="268">
          <cell r="A268">
            <v>267</v>
          </cell>
          <cell r="B268">
            <v>0.1212</v>
          </cell>
          <cell r="C268">
            <v>0.59</v>
          </cell>
          <cell r="D268">
            <v>0.28360000000000002</v>
          </cell>
          <cell r="E268">
            <v>1</v>
          </cell>
          <cell r="F268">
            <v>6</v>
          </cell>
          <cell r="G268">
            <v>7</v>
          </cell>
        </row>
        <row r="269">
          <cell r="A269">
            <v>268</v>
          </cell>
          <cell r="B269">
            <v>0.1212</v>
          </cell>
          <cell r="C269">
            <v>0.5</v>
          </cell>
          <cell r="D269">
            <v>0.28360000000000002</v>
          </cell>
          <cell r="E269">
            <v>0</v>
          </cell>
          <cell r="F269">
            <v>2</v>
          </cell>
          <cell r="G269">
            <v>2</v>
          </cell>
        </row>
        <row r="270">
          <cell r="A270">
            <v>269</v>
          </cell>
          <cell r="B270">
            <v>0.1212</v>
          </cell>
          <cell r="C270">
            <v>0.5</v>
          </cell>
          <cell r="D270">
            <v>0.35820000000000002</v>
          </cell>
          <cell r="E270">
            <v>0</v>
          </cell>
          <cell r="F270">
            <v>2</v>
          </cell>
          <cell r="G270">
            <v>2</v>
          </cell>
        </row>
        <row r="271">
          <cell r="A271">
            <v>270</v>
          </cell>
          <cell r="B271">
            <v>0.1212</v>
          </cell>
          <cell r="C271">
            <v>0.5</v>
          </cell>
          <cell r="D271">
            <v>0.32840000000000003</v>
          </cell>
          <cell r="E271">
            <v>0</v>
          </cell>
          <cell r="F271">
            <v>3</v>
          </cell>
          <cell r="G271">
            <v>3</v>
          </cell>
        </row>
        <row r="272">
          <cell r="A272">
            <v>271</v>
          </cell>
          <cell r="B272">
            <v>0.1212</v>
          </cell>
          <cell r="C272">
            <v>0.5</v>
          </cell>
          <cell r="D272">
            <v>0.25369999999999998</v>
          </cell>
          <cell r="E272">
            <v>0</v>
          </cell>
          <cell r="F272">
            <v>4</v>
          </cell>
          <cell r="G272">
            <v>4</v>
          </cell>
        </row>
        <row r="273">
          <cell r="A273">
            <v>272</v>
          </cell>
          <cell r="B273">
            <v>0.1212</v>
          </cell>
          <cell r="C273">
            <v>0.5</v>
          </cell>
          <cell r="D273">
            <v>0.29849999999999999</v>
          </cell>
          <cell r="E273">
            <v>0</v>
          </cell>
          <cell r="F273">
            <v>3</v>
          </cell>
          <cell r="G273">
            <v>3</v>
          </cell>
        </row>
        <row r="274">
          <cell r="A274">
            <v>273</v>
          </cell>
          <cell r="B274">
            <v>0.1515</v>
          </cell>
          <cell r="C274">
            <v>0.54</v>
          </cell>
          <cell r="D274">
            <v>0.1343</v>
          </cell>
          <cell r="E274">
            <v>0</v>
          </cell>
          <cell r="F274">
            <v>28</v>
          </cell>
          <cell r="G274">
            <v>28</v>
          </cell>
        </row>
        <row r="275">
          <cell r="A275">
            <v>274</v>
          </cell>
          <cell r="B275">
            <v>0.1515</v>
          </cell>
          <cell r="C275">
            <v>0.54</v>
          </cell>
          <cell r="D275">
            <v>0.1343</v>
          </cell>
          <cell r="E275">
            <v>0</v>
          </cell>
          <cell r="F275">
            <v>72</v>
          </cell>
          <cell r="G275">
            <v>72</v>
          </cell>
        </row>
        <row r="276">
          <cell r="A276">
            <v>275</v>
          </cell>
          <cell r="B276">
            <v>0.13639999999999999</v>
          </cell>
          <cell r="C276">
            <v>0.5</v>
          </cell>
          <cell r="D276">
            <v>0.19400000000000001</v>
          </cell>
          <cell r="E276">
            <v>5</v>
          </cell>
          <cell r="F276">
            <v>197</v>
          </cell>
          <cell r="G276">
            <v>202</v>
          </cell>
        </row>
        <row r="277">
          <cell r="A277">
            <v>276</v>
          </cell>
          <cell r="B277">
            <v>0.1212</v>
          </cell>
          <cell r="C277">
            <v>0.5</v>
          </cell>
          <cell r="D277">
            <v>0.32840000000000003</v>
          </cell>
          <cell r="E277">
            <v>2</v>
          </cell>
          <cell r="F277">
            <v>137</v>
          </cell>
          <cell r="G277">
            <v>139</v>
          </cell>
        </row>
        <row r="278">
          <cell r="A278">
            <v>277</v>
          </cell>
          <cell r="B278">
            <v>0.13639999999999999</v>
          </cell>
          <cell r="C278">
            <v>0.5</v>
          </cell>
          <cell r="D278">
            <v>0.35820000000000002</v>
          </cell>
          <cell r="E278">
            <v>2</v>
          </cell>
          <cell r="F278">
            <v>36</v>
          </cell>
          <cell r="G278">
            <v>38</v>
          </cell>
        </row>
        <row r="279">
          <cell r="A279">
            <v>278</v>
          </cell>
          <cell r="B279">
            <v>0.16669999999999999</v>
          </cell>
          <cell r="C279">
            <v>0.44</v>
          </cell>
          <cell r="D279">
            <v>0.44779999999999998</v>
          </cell>
          <cell r="E279">
            <v>4</v>
          </cell>
          <cell r="F279">
            <v>33</v>
          </cell>
          <cell r="G279">
            <v>37</v>
          </cell>
        </row>
        <row r="280">
          <cell r="A280">
            <v>279</v>
          </cell>
          <cell r="B280">
            <v>0.16669999999999999</v>
          </cell>
          <cell r="C280">
            <v>0.44</v>
          </cell>
          <cell r="D280">
            <v>0.41789999999999999</v>
          </cell>
          <cell r="E280">
            <v>3</v>
          </cell>
          <cell r="F280">
            <v>49</v>
          </cell>
          <cell r="G280">
            <v>52</v>
          </cell>
        </row>
        <row r="281">
          <cell r="A281">
            <v>280</v>
          </cell>
          <cell r="B281">
            <v>0.19700000000000001</v>
          </cell>
          <cell r="C281">
            <v>0.41</v>
          </cell>
          <cell r="D281">
            <v>0.44779999999999998</v>
          </cell>
          <cell r="E281">
            <v>2</v>
          </cell>
          <cell r="F281">
            <v>81</v>
          </cell>
          <cell r="G281">
            <v>83</v>
          </cell>
        </row>
        <row r="282">
          <cell r="A282">
            <v>281</v>
          </cell>
          <cell r="B282">
            <v>0.19700000000000001</v>
          </cell>
          <cell r="C282">
            <v>0.41</v>
          </cell>
          <cell r="D282">
            <v>0.3881</v>
          </cell>
          <cell r="E282">
            <v>3</v>
          </cell>
          <cell r="F282">
            <v>39</v>
          </cell>
          <cell r="G282">
            <v>42</v>
          </cell>
        </row>
        <row r="283">
          <cell r="A283">
            <v>282</v>
          </cell>
          <cell r="B283">
            <v>0.21210000000000001</v>
          </cell>
          <cell r="C283">
            <v>0.38</v>
          </cell>
          <cell r="D283">
            <v>0.29849999999999999</v>
          </cell>
          <cell r="E283">
            <v>5</v>
          </cell>
          <cell r="F283">
            <v>55</v>
          </cell>
          <cell r="G283">
            <v>60</v>
          </cell>
        </row>
        <row r="284">
          <cell r="A284">
            <v>283</v>
          </cell>
          <cell r="B284">
            <v>0.21210000000000001</v>
          </cell>
          <cell r="C284">
            <v>0.38</v>
          </cell>
          <cell r="D284">
            <v>0.35820000000000002</v>
          </cell>
          <cell r="E284">
            <v>2</v>
          </cell>
          <cell r="F284">
            <v>76</v>
          </cell>
          <cell r="G284">
            <v>78</v>
          </cell>
        </row>
        <row r="285">
          <cell r="A285">
            <v>284</v>
          </cell>
          <cell r="B285">
            <v>0.18179999999999999</v>
          </cell>
          <cell r="C285">
            <v>0.4</v>
          </cell>
          <cell r="D285">
            <v>0.28360000000000002</v>
          </cell>
          <cell r="E285">
            <v>4</v>
          </cell>
          <cell r="F285">
            <v>158</v>
          </cell>
          <cell r="G285">
            <v>162</v>
          </cell>
        </row>
        <row r="286">
          <cell r="A286">
            <v>285</v>
          </cell>
          <cell r="B286">
            <v>0.18179999999999999</v>
          </cell>
          <cell r="C286">
            <v>0.4</v>
          </cell>
          <cell r="D286">
            <v>0.32840000000000003</v>
          </cell>
          <cell r="E286">
            <v>3</v>
          </cell>
          <cell r="F286">
            <v>141</v>
          </cell>
          <cell r="G286">
            <v>144</v>
          </cell>
        </row>
        <row r="287">
          <cell r="A287">
            <v>286</v>
          </cell>
          <cell r="B287">
            <v>0.1515</v>
          </cell>
          <cell r="C287">
            <v>0.47</v>
          </cell>
          <cell r="D287">
            <v>0.25369999999999998</v>
          </cell>
          <cell r="E287">
            <v>1</v>
          </cell>
          <cell r="F287">
            <v>98</v>
          </cell>
          <cell r="G287">
            <v>99</v>
          </cell>
        </row>
        <row r="288">
          <cell r="A288">
            <v>287</v>
          </cell>
          <cell r="B288">
            <v>0.1515</v>
          </cell>
          <cell r="C288">
            <v>0.47</v>
          </cell>
          <cell r="D288">
            <v>0.22389999999999999</v>
          </cell>
          <cell r="E288">
            <v>0</v>
          </cell>
          <cell r="F288">
            <v>64</v>
          </cell>
          <cell r="G288">
            <v>64</v>
          </cell>
        </row>
        <row r="289">
          <cell r="A289">
            <v>288</v>
          </cell>
          <cell r="B289">
            <v>0.1212</v>
          </cell>
          <cell r="C289">
            <v>0.46</v>
          </cell>
          <cell r="D289">
            <v>0.29849999999999999</v>
          </cell>
          <cell r="E289">
            <v>0</v>
          </cell>
          <cell r="F289">
            <v>40</v>
          </cell>
          <cell r="G289">
            <v>40</v>
          </cell>
        </row>
        <row r="290">
          <cell r="A290">
            <v>289</v>
          </cell>
          <cell r="B290">
            <v>0.1212</v>
          </cell>
          <cell r="C290">
            <v>0.46</v>
          </cell>
          <cell r="D290">
            <v>0.32840000000000003</v>
          </cell>
          <cell r="E290">
            <v>0</v>
          </cell>
          <cell r="F290">
            <v>30</v>
          </cell>
          <cell r="G290">
            <v>30</v>
          </cell>
        </row>
        <row r="291">
          <cell r="A291">
            <v>290</v>
          </cell>
          <cell r="B291">
            <v>0.13639999999999999</v>
          </cell>
          <cell r="C291">
            <v>0.5</v>
          </cell>
          <cell r="D291">
            <v>0.19400000000000001</v>
          </cell>
          <cell r="E291">
            <v>1</v>
          </cell>
          <cell r="F291">
            <v>14</v>
          </cell>
          <cell r="G291">
            <v>15</v>
          </cell>
        </row>
        <row r="292">
          <cell r="A292">
            <v>291</v>
          </cell>
          <cell r="B292">
            <v>0.13639999999999999</v>
          </cell>
          <cell r="C292">
            <v>0.5</v>
          </cell>
          <cell r="D292">
            <v>0.19400000000000001</v>
          </cell>
          <cell r="E292">
            <v>0</v>
          </cell>
          <cell r="F292">
            <v>14</v>
          </cell>
          <cell r="G292">
            <v>14</v>
          </cell>
        </row>
        <row r="293">
          <cell r="A293">
            <v>292</v>
          </cell>
          <cell r="B293">
            <v>0.1212</v>
          </cell>
          <cell r="C293">
            <v>0.54</v>
          </cell>
          <cell r="D293">
            <v>0.16420000000000001</v>
          </cell>
          <cell r="E293">
            <v>0</v>
          </cell>
          <cell r="F293">
            <v>5</v>
          </cell>
          <cell r="G293">
            <v>5</v>
          </cell>
        </row>
        <row r="294">
          <cell r="A294">
            <v>293</v>
          </cell>
          <cell r="B294">
            <v>0.1212</v>
          </cell>
          <cell r="C294">
            <v>0.54</v>
          </cell>
          <cell r="D294">
            <v>0.1343</v>
          </cell>
          <cell r="E294">
            <v>0</v>
          </cell>
          <cell r="F294">
            <v>1</v>
          </cell>
          <cell r="G294">
            <v>1</v>
          </cell>
        </row>
        <row r="295">
          <cell r="A295">
            <v>294</v>
          </cell>
          <cell r="B295">
            <v>0.13639999999999999</v>
          </cell>
          <cell r="C295">
            <v>0.54</v>
          </cell>
          <cell r="D295">
            <v>0.1045</v>
          </cell>
          <cell r="E295">
            <v>0</v>
          </cell>
          <cell r="F295">
            <v>1</v>
          </cell>
          <cell r="G295">
            <v>1</v>
          </cell>
        </row>
        <row r="296">
          <cell r="A296">
            <v>295</v>
          </cell>
          <cell r="B296">
            <v>0.13639999999999999</v>
          </cell>
          <cell r="C296">
            <v>0.54</v>
          </cell>
          <cell r="D296">
            <v>8.9599999999999999E-2</v>
          </cell>
          <cell r="E296">
            <v>0</v>
          </cell>
          <cell r="F296">
            <v>8</v>
          </cell>
          <cell r="G296">
            <v>8</v>
          </cell>
        </row>
        <row r="297">
          <cell r="A297">
            <v>296</v>
          </cell>
          <cell r="B297">
            <v>0.18179999999999999</v>
          </cell>
          <cell r="C297">
            <v>0.54</v>
          </cell>
          <cell r="D297">
            <v>0</v>
          </cell>
          <cell r="E297">
            <v>0</v>
          </cell>
          <cell r="F297">
            <v>17</v>
          </cell>
          <cell r="G297">
            <v>17</v>
          </cell>
        </row>
        <row r="298">
          <cell r="A298">
            <v>297</v>
          </cell>
          <cell r="B298">
            <v>0.1212</v>
          </cell>
          <cell r="C298">
            <v>0.74</v>
          </cell>
          <cell r="D298">
            <v>0.16420000000000001</v>
          </cell>
          <cell r="E298">
            <v>0</v>
          </cell>
          <cell r="F298">
            <v>70</v>
          </cell>
          <cell r="G298">
            <v>70</v>
          </cell>
        </row>
        <row r="299">
          <cell r="A299">
            <v>298</v>
          </cell>
          <cell r="B299">
            <v>0.16669999999999999</v>
          </cell>
          <cell r="C299">
            <v>0.68</v>
          </cell>
          <cell r="D299">
            <v>0</v>
          </cell>
          <cell r="E299">
            <v>2</v>
          </cell>
          <cell r="F299">
            <v>156</v>
          </cell>
          <cell r="G299">
            <v>158</v>
          </cell>
        </row>
        <row r="300">
          <cell r="A300">
            <v>299</v>
          </cell>
          <cell r="B300">
            <v>0.1515</v>
          </cell>
          <cell r="C300">
            <v>0.69</v>
          </cell>
          <cell r="D300">
            <v>0.1343</v>
          </cell>
          <cell r="E300">
            <v>0</v>
          </cell>
          <cell r="F300">
            <v>117</v>
          </cell>
          <cell r="G300">
            <v>117</v>
          </cell>
        </row>
        <row r="301">
          <cell r="A301">
            <v>300</v>
          </cell>
          <cell r="B301">
            <v>0.18179999999999999</v>
          </cell>
          <cell r="C301">
            <v>0.55000000000000004</v>
          </cell>
          <cell r="D301">
            <v>0.19400000000000001</v>
          </cell>
          <cell r="E301">
            <v>4</v>
          </cell>
          <cell r="F301">
            <v>40</v>
          </cell>
          <cell r="G301">
            <v>44</v>
          </cell>
        </row>
        <row r="302">
          <cell r="A302">
            <v>301</v>
          </cell>
          <cell r="B302">
            <v>0.16669999999999999</v>
          </cell>
          <cell r="C302">
            <v>0.51</v>
          </cell>
          <cell r="D302">
            <v>0.28360000000000002</v>
          </cell>
          <cell r="E302">
            <v>6</v>
          </cell>
          <cell r="F302">
            <v>47</v>
          </cell>
          <cell r="G302">
            <v>53</v>
          </cell>
        </row>
        <row r="303">
          <cell r="A303">
            <v>302</v>
          </cell>
          <cell r="B303">
            <v>0.19700000000000001</v>
          </cell>
          <cell r="C303">
            <v>0.44</v>
          </cell>
          <cell r="D303">
            <v>0.25369999999999998</v>
          </cell>
          <cell r="E303">
            <v>2</v>
          </cell>
          <cell r="F303">
            <v>59</v>
          </cell>
          <cell r="G303">
            <v>61</v>
          </cell>
        </row>
        <row r="304">
          <cell r="A304">
            <v>303</v>
          </cell>
          <cell r="B304">
            <v>0.19700000000000001</v>
          </cell>
          <cell r="C304">
            <v>0.37</v>
          </cell>
          <cell r="D304">
            <v>0.3881</v>
          </cell>
          <cell r="E304">
            <v>4</v>
          </cell>
          <cell r="F304">
            <v>73</v>
          </cell>
          <cell r="G304">
            <v>77</v>
          </cell>
        </row>
        <row r="305">
          <cell r="A305">
            <v>304</v>
          </cell>
          <cell r="B305">
            <v>0.21210000000000001</v>
          </cell>
          <cell r="C305">
            <v>0.41</v>
          </cell>
          <cell r="D305">
            <v>0.28360000000000002</v>
          </cell>
          <cell r="E305">
            <v>5</v>
          </cell>
          <cell r="F305">
            <v>59</v>
          </cell>
          <cell r="G305">
            <v>64</v>
          </cell>
        </row>
        <row r="306">
          <cell r="A306">
            <v>305</v>
          </cell>
          <cell r="B306">
            <v>0.2424</v>
          </cell>
          <cell r="C306">
            <v>0.38</v>
          </cell>
          <cell r="D306">
            <v>0.16420000000000001</v>
          </cell>
          <cell r="E306">
            <v>9</v>
          </cell>
          <cell r="F306">
            <v>59</v>
          </cell>
          <cell r="G306">
            <v>68</v>
          </cell>
        </row>
        <row r="307">
          <cell r="A307">
            <v>306</v>
          </cell>
          <cell r="B307">
            <v>0.2424</v>
          </cell>
          <cell r="C307">
            <v>0.41</v>
          </cell>
          <cell r="D307">
            <v>0.1045</v>
          </cell>
          <cell r="E307">
            <v>3</v>
          </cell>
          <cell r="F307">
            <v>87</v>
          </cell>
          <cell r="G307">
            <v>90</v>
          </cell>
        </row>
        <row r="308">
          <cell r="A308">
            <v>307</v>
          </cell>
          <cell r="B308">
            <v>0.2273</v>
          </cell>
          <cell r="C308">
            <v>0.41</v>
          </cell>
          <cell r="D308">
            <v>0.16420000000000001</v>
          </cell>
          <cell r="E308">
            <v>4</v>
          </cell>
          <cell r="F308">
            <v>155</v>
          </cell>
          <cell r="G308">
            <v>159</v>
          </cell>
        </row>
        <row r="309">
          <cell r="A309">
            <v>308</v>
          </cell>
          <cell r="B309">
            <v>0.2576</v>
          </cell>
          <cell r="C309">
            <v>0.47</v>
          </cell>
          <cell r="D309">
            <v>0</v>
          </cell>
          <cell r="E309">
            <v>5</v>
          </cell>
          <cell r="F309">
            <v>134</v>
          </cell>
          <cell r="G309">
            <v>139</v>
          </cell>
        </row>
        <row r="310">
          <cell r="A310">
            <v>309</v>
          </cell>
          <cell r="B310">
            <v>0.19700000000000001</v>
          </cell>
          <cell r="C310">
            <v>0.59</v>
          </cell>
          <cell r="D310">
            <v>8.9599999999999999E-2</v>
          </cell>
          <cell r="E310">
            <v>3</v>
          </cell>
          <cell r="F310">
            <v>89</v>
          </cell>
          <cell r="G310">
            <v>92</v>
          </cell>
        </row>
        <row r="311">
          <cell r="A311">
            <v>310</v>
          </cell>
          <cell r="B311">
            <v>0.2424</v>
          </cell>
          <cell r="C311">
            <v>0.59</v>
          </cell>
          <cell r="D311">
            <v>0</v>
          </cell>
          <cell r="E311">
            <v>0</v>
          </cell>
          <cell r="F311">
            <v>68</v>
          </cell>
          <cell r="G311">
            <v>68</v>
          </cell>
        </row>
        <row r="312">
          <cell r="A312">
            <v>311</v>
          </cell>
          <cell r="B312">
            <v>0.2273</v>
          </cell>
          <cell r="C312">
            <v>0.69</v>
          </cell>
          <cell r="D312">
            <v>0</v>
          </cell>
          <cell r="E312">
            <v>4</v>
          </cell>
          <cell r="F312">
            <v>48</v>
          </cell>
          <cell r="G312">
            <v>52</v>
          </cell>
        </row>
        <row r="313">
          <cell r="A313">
            <v>312</v>
          </cell>
          <cell r="B313">
            <v>0.2273</v>
          </cell>
          <cell r="C313">
            <v>0.69</v>
          </cell>
          <cell r="D313">
            <v>0</v>
          </cell>
          <cell r="E313">
            <v>2</v>
          </cell>
          <cell r="F313">
            <v>34</v>
          </cell>
          <cell r="G313">
            <v>36</v>
          </cell>
        </row>
        <row r="314">
          <cell r="A314">
            <v>313</v>
          </cell>
          <cell r="B314">
            <v>0.2424</v>
          </cell>
          <cell r="C314">
            <v>0.55000000000000004</v>
          </cell>
          <cell r="D314">
            <v>0</v>
          </cell>
          <cell r="E314">
            <v>1</v>
          </cell>
          <cell r="F314">
            <v>26</v>
          </cell>
          <cell r="G314">
            <v>27</v>
          </cell>
        </row>
        <row r="315">
          <cell r="A315">
            <v>314</v>
          </cell>
          <cell r="B315">
            <v>0.2424</v>
          </cell>
          <cell r="C315">
            <v>0.55000000000000004</v>
          </cell>
          <cell r="D315">
            <v>0</v>
          </cell>
          <cell r="E315">
            <v>3</v>
          </cell>
          <cell r="F315">
            <v>25</v>
          </cell>
          <cell r="G315">
            <v>28</v>
          </cell>
        </row>
        <row r="316">
          <cell r="A316">
            <v>315</v>
          </cell>
          <cell r="B316">
            <v>0.19700000000000001</v>
          </cell>
          <cell r="C316">
            <v>0.59</v>
          </cell>
          <cell r="D316">
            <v>8.9599999999999999E-2</v>
          </cell>
          <cell r="E316">
            <v>2</v>
          </cell>
          <cell r="F316">
            <v>18</v>
          </cell>
          <cell r="G316">
            <v>20</v>
          </cell>
        </row>
        <row r="317">
          <cell r="A317">
            <v>316</v>
          </cell>
          <cell r="B317">
            <v>0.19700000000000001</v>
          </cell>
          <cell r="C317">
            <v>0.59</v>
          </cell>
          <cell r="D317">
            <v>8.9599999999999999E-2</v>
          </cell>
          <cell r="E317">
            <v>0</v>
          </cell>
          <cell r="F317">
            <v>12</v>
          </cell>
          <cell r="G317">
            <v>12</v>
          </cell>
        </row>
        <row r="318">
          <cell r="A318">
            <v>317</v>
          </cell>
          <cell r="B318">
            <v>0.2273</v>
          </cell>
          <cell r="C318">
            <v>0.59</v>
          </cell>
          <cell r="D318">
            <v>0</v>
          </cell>
          <cell r="E318">
            <v>1</v>
          </cell>
          <cell r="F318">
            <v>7</v>
          </cell>
          <cell r="G318">
            <v>8</v>
          </cell>
        </row>
        <row r="319">
          <cell r="A319">
            <v>318</v>
          </cell>
          <cell r="B319">
            <v>0.2273</v>
          </cell>
          <cell r="C319">
            <v>0.59</v>
          </cell>
          <cell r="D319">
            <v>0</v>
          </cell>
          <cell r="E319">
            <v>0</v>
          </cell>
          <cell r="F319">
            <v>5</v>
          </cell>
          <cell r="G319">
            <v>5</v>
          </cell>
        </row>
        <row r="320">
          <cell r="A320">
            <v>319</v>
          </cell>
          <cell r="B320">
            <v>0.2273</v>
          </cell>
          <cell r="C320">
            <v>0.59</v>
          </cell>
          <cell r="D320">
            <v>0</v>
          </cell>
          <cell r="E320">
            <v>0</v>
          </cell>
          <cell r="F320">
            <v>1</v>
          </cell>
          <cell r="G320">
            <v>1</v>
          </cell>
        </row>
        <row r="321">
          <cell r="A321">
            <v>320</v>
          </cell>
          <cell r="B321">
            <v>0.16669999999999999</v>
          </cell>
          <cell r="C321">
            <v>0.63</v>
          </cell>
          <cell r="D321">
            <v>0.1045</v>
          </cell>
          <cell r="E321">
            <v>1</v>
          </cell>
          <cell r="F321">
            <v>2</v>
          </cell>
          <cell r="G321">
            <v>3</v>
          </cell>
        </row>
        <row r="322">
          <cell r="A322">
            <v>321</v>
          </cell>
          <cell r="B322">
            <v>0.21210000000000001</v>
          </cell>
          <cell r="C322">
            <v>0.63</v>
          </cell>
          <cell r="D322">
            <v>0</v>
          </cell>
          <cell r="E322">
            <v>1</v>
          </cell>
          <cell r="F322">
            <v>9</v>
          </cell>
          <cell r="G322">
            <v>10</v>
          </cell>
        </row>
        <row r="323">
          <cell r="A323">
            <v>322</v>
          </cell>
          <cell r="B323">
            <v>0.1515</v>
          </cell>
          <cell r="C323">
            <v>0.63</v>
          </cell>
          <cell r="D323">
            <v>0.1343</v>
          </cell>
          <cell r="E323">
            <v>1</v>
          </cell>
          <cell r="F323">
            <v>22</v>
          </cell>
          <cell r="G323">
            <v>23</v>
          </cell>
        </row>
        <row r="324">
          <cell r="A324">
            <v>323</v>
          </cell>
          <cell r="B324">
            <v>0.18179999999999999</v>
          </cell>
          <cell r="C324">
            <v>0.64</v>
          </cell>
          <cell r="D324">
            <v>0.1343</v>
          </cell>
          <cell r="E324">
            <v>2</v>
          </cell>
          <cell r="F324">
            <v>31</v>
          </cell>
          <cell r="G324">
            <v>33</v>
          </cell>
        </row>
        <row r="325">
          <cell r="A325">
            <v>324</v>
          </cell>
          <cell r="B325">
            <v>0.19700000000000001</v>
          </cell>
          <cell r="C325">
            <v>0.59</v>
          </cell>
          <cell r="D325">
            <v>0.16420000000000001</v>
          </cell>
          <cell r="E325">
            <v>2</v>
          </cell>
          <cell r="F325">
            <v>57</v>
          </cell>
          <cell r="G325">
            <v>59</v>
          </cell>
        </row>
        <row r="326">
          <cell r="A326">
            <v>325</v>
          </cell>
          <cell r="B326">
            <v>0.19700000000000001</v>
          </cell>
          <cell r="C326">
            <v>0.55000000000000004</v>
          </cell>
          <cell r="D326">
            <v>0.22389999999999999</v>
          </cell>
          <cell r="E326">
            <v>18</v>
          </cell>
          <cell r="F326">
            <v>54</v>
          </cell>
          <cell r="G326">
            <v>72</v>
          </cell>
        </row>
        <row r="327">
          <cell r="A327">
            <v>326</v>
          </cell>
          <cell r="B327">
            <v>0.2273</v>
          </cell>
          <cell r="C327">
            <v>0.48</v>
          </cell>
          <cell r="D327">
            <v>0.22389999999999999</v>
          </cell>
          <cell r="E327">
            <v>15</v>
          </cell>
          <cell r="F327">
            <v>74</v>
          </cell>
          <cell r="G327">
            <v>89</v>
          </cell>
        </row>
        <row r="328">
          <cell r="A328">
            <v>327</v>
          </cell>
          <cell r="B328">
            <v>0.2576</v>
          </cell>
          <cell r="C328">
            <v>0.38</v>
          </cell>
          <cell r="D328">
            <v>0.29849999999999999</v>
          </cell>
          <cell r="E328">
            <v>21</v>
          </cell>
          <cell r="F328">
            <v>80</v>
          </cell>
          <cell r="G328">
            <v>101</v>
          </cell>
        </row>
        <row r="329">
          <cell r="A329">
            <v>328</v>
          </cell>
          <cell r="B329">
            <v>0.28789999999999999</v>
          </cell>
          <cell r="C329">
            <v>0.39</v>
          </cell>
          <cell r="D329">
            <v>0.28360000000000002</v>
          </cell>
          <cell r="E329">
            <v>26</v>
          </cell>
          <cell r="F329">
            <v>92</v>
          </cell>
          <cell r="G329">
            <v>118</v>
          </cell>
        </row>
        <row r="330">
          <cell r="A330">
            <v>329</v>
          </cell>
          <cell r="B330">
            <v>0.31819999999999998</v>
          </cell>
          <cell r="C330">
            <v>0.36</v>
          </cell>
          <cell r="D330">
            <v>0.19400000000000001</v>
          </cell>
          <cell r="E330">
            <v>21</v>
          </cell>
          <cell r="F330">
            <v>108</v>
          </cell>
          <cell r="G330">
            <v>129</v>
          </cell>
        </row>
        <row r="331">
          <cell r="A331">
            <v>330</v>
          </cell>
          <cell r="B331">
            <v>0.33329999999999999</v>
          </cell>
          <cell r="C331">
            <v>0.34</v>
          </cell>
          <cell r="D331">
            <v>0.19400000000000001</v>
          </cell>
          <cell r="E331">
            <v>33</v>
          </cell>
          <cell r="F331">
            <v>95</v>
          </cell>
          <cell r="G331">
            <v>128</v>
          </cell>
        </row>
        <row r="332">
          <cell r="A332">
            <v>331</v>
          </cell>
          <cell r="B332">
            <v>0.30299999999999999</v>
          </cell>
          <cell r="C332">
            <v>0.36</v>
          </cell>
          <cell r="D332">
            <v>0.28360000000000002</v>
          </cell>
          <cell r="E332">
            <v>29</v>
          </cell>
          <cell r="F332">
            <v>54</v>
          </cell>
          <cell r="G332">
            <v>83</v>
          </cell>
        </row>
        <row r="333">
          <cell r="A333">
            <v>332</v>
          </cell>
          <cell r="B333">
            <v>0.28789999999999999</v>
          </cell>
          <cell r="C333">
            <v>0.45</v>
          </cell>
          <cell r="D333">
            <v>0.25369999999999998</v>
          </cell>
          <cell r="E333">
            <v>15</v>
          </cell>
          <cell r="F333">
            <v>69</v>
          </cell>
          <cell r="G333">
            <v>84</v>
          </cell>
        </row>
        <row r="334">
          <cell r="A334">
            <v>333</v>
          </cell>
          <cell r="B334">
            <v>0.30299999999999999</v>
          </cell>
          <cell r="C334">
            <v>0.39</v>
          </cell>
          <cell r="D334">
            <v>0.25369999999999998</v>
          </cell>
          <cell r="E334">
            <v>14</v>
          </cell>
          <cell r="F334">
            <v>60</v>
          </cell>
          <cell r="G334">
            <v>74</v>
          </cell>
        </row>
        <row r="335">
          <cell r="A335">
            <v>334</v>
          </cell>
          <cell r="B335">
            <v>0.30299999999999999</v>
          </cell>
          <cell r="C335">
            <v>0.39</v>
          </cell>
          <cell r="D335">
            <v>0.25369999999999998</v>
          </cell>
          <cell r="E335">
            <v>6</v>
          </cell>
          <cell r="F335">
            <v>35</v>
          </cell>
          <cell r="G335">
            <v>41</v>
          </cell>
        </row>
        <row r="336">
          <cell r="A336">
            <v>335</v>
          </cell>
          <cell r="B336">
            <v>0.30299999999999999</v>
          </cell>
          <cell r="C336">
            <v>0.39</v>
          </cell>
          <cell r="D336">
            <v>0.22389999999999999</v>
          </cell>
          <cell r="E336">
            <v>6</v>
          </cell>
          <cell r="F336">
            <v>51</v>
          </cell>
          <cell r="G336">
            <v>57</v>
          </cell>
        </row>
        <row r="337">
          <cell r="A337">
            <v>336</v>
          </cell>
          <cell r="B337">
            <v>0.31819999999999998</v>
          </cell>
          <cell r="C337">
            <v>0.42</v>
          </cell>
          <cell r="D337">
            <v>0.1045</v>
          </cell>
          <cell r="E337">
            <v>0</v>
          </cell>
          <cell r="F337">
            <v>26</v>
          </cell>
          <cell r="G337">
            <v>26</v>
          </cell>
        </row>
        <row r="338">
          <cell r="A338">
            <v>337</v>
          </cell>
          <cell r="B338">
            <v>0.28789999999999999</v>
          </cell>
          <cell r="C338">
            <v>0.45</v>
          </cell>
          <cell r="D338">
            <v>0.28360000000000002</v>
          </cell>
          <cell r="E338">
            <v>5</v>
          </cell>
          <cell r="F338">
            <v>39</v>
          </cell>
          <cell r="G338">
            <v>44</v>
          </cell>
        </row>
        <row r="339">
          <cell r="A339">
            <v>338</v>
          </cell>
          <cell r="B339">
            <v>0.30299999999999999</v>
          </cell>
          <cell r="C339">
            <v>0.56000000000000005</v>
          </cell>
          <cell r="D339">
            <v>0</v>
          </cell>
          <cell r="E339">
            <v>6</v>
          </cell>
          <cell r="F339">
            <v>33</v>
          </cell>
          <cell r="G339">
            <v>39</v>
          </cell>
        </row>
        <row r="340">
          <cell r="A340">
            <v>339</v>
          </cell>
          <cell r="B340">
            <v>0.2727</v>
          </cell>
          <cell r="C340">
            <v>0.56000000000000005</v>
          </cell>
          <cell r="D340">
            <v>0.1343</v>
          </cell>
          <cell r="E340">
            <v>4</v>
          </cell>
          <cell r="F340">
            <v>19</v>
          </cell>
          <cell r="G340">
            <v>23</v>
          </cell>
        </row>
        <row r="341">
          <cell r="A341">
            <v>340</v>
          </cell>
          <cell r="B341">
            <v>0.28789999999999999</v>
          </cell>
          <cell r="C341">
            <v>0.56000000000000005</v>
          </cell>
          <cell r="D341">
            <v>8.9599999999999999E-2</v>
          </cell>
          <cell r="E341">
            <v>3</v>
          </cell>
          <cell r="F341">
            <v>13</v>
          </cell>
          <cell r="G341">
            <v>16</v>
          </cell>
        </row>
        <row r="342">
          <cell r="A342">
            <v>341</v>
          </cell>
          <cell r="B342">
            <v>0.2727</v>
          </cell>
          <cell r="C342">
            <v>0.69</v>
          </cell>
          <cell r="D342">
            <v>0</v>
          </cell>
          <cell r="E342">
            <v>9</v>
          </cell>
          <cell r="F342">
            <v>6</v>
          </cell>
          <cell r="G342">
            <v>15</v>
          </cell>
        </row>
        <row r="343">
          <cell r="A343">
            <v>342</v>
          </cell>
          <cell r="B343">
            <v>0.2576</v>
          </cell>
          <cell r="C343">
            <v>0.56000000000000005</v>
          </cell>
          <cell r="D343">
            <v>0.16420000000000001</v>
          </cell>
          <cell r="E343">
            <v>0</v>
          </cell>
          <cell r="F343">
            <v>1</v>
          </cell>
          <cell r="G343">
            <v>1</v>
          </cell>
        </row>
        <row r="344">
          <cell r="A344">
            <v>343</v>
          </cell>
          <cell r="B344">
            <v>0.2576</v>
          </cell>
          <cell r="C344">
            <v>0.56000000000000005</v>
          </cell>
          <cell r="D344">
            <v>0.16420000000000001</v>
          </cell>
          <cell r="E344">
            <v>1</v>
          </cell>
          <cell r="F344">
            <v>1</v>
          </cell>
          <cell r="G344">
            <v>2</v>
          </cell>
        </row>
        <row r="345">
          <cell r="A345">
            <v>344</v>
          </cell>
          <cell r="B345">
            <v>0.2576</v>
          </cell>
          <cell r="C345">
            <v>0.56000000000000005</v>
          </cell>
          <cell r="D345">
            <v>0.16420000000000001</v>
          </cell>
          <cell r="E345">
            <v>0</v>
          </cell>
          <cell r="F345">
            <v>1</v>
          </cell>
          <cell r="G345">
            <v>1</v>
          </cell>
        </row>
        <row r="346">
          <cell r="A346">
            <v>345</v>
          </cell>
          <cell r="B346">
            <v>0.21210000000000001</v>
          </cell>
          <cell r="C346">
            <v>0.56000000000000005</v>
          </cell>
          <cell r="D346">
            <v>0.29849999999999999</v>
          </cell>
          <cell r="E346">
            <v>0</v>
          </cell>
          <cell r="F346">
            <v>3</v>
          </cell>
          <cell r="G346">
            <v>3</v>
          </cell>
        </row>
        <row r="347">
          <cell r="A347">
            <v>346</v>
          </cell>
          <cell r="B347">
            <v>0.21210000000000001</v>
          </cell>
          <cell r="C347">
            <v>0.55000000000000004</v>
          </cell>
          <cell r="D347">
            <v>0.28360000000000002</v>
          </cell>
          <cell r="E347">
            <v>0</v>
          </cell>
          <cell r="F347">
            <v>18</v>
          </cell>
          <cell r="G347">
            <v>18</v>
          </cell>
        </row>
        <row r="348">
          <cell r="A348">
            <v>347</v>
          </cell>
          <cell r="B348">
            <v>0.21210000000000001</v>
          </cell>
          <cell r="C348">
            <v>0.51</v>
          </cell>
          <cell r="D348">
            <v>0.25369999999999998</v>
          </cell>
          <cell r="E348">
            <v>3</v>
          </cell>
          <cell r="F348">
            <v>29</v>
          </cell>
          <cell r="G348">
            <v>32</v>
          </cell>
        </row>
        <row r="349">
          <cell r="A349">
            <v>348</v>
          </cell>
          <cell r="B349">
            <v>0.21210000000000001</v>
          </cell>
          <cell r="C349">
            <v>0.51</v>
          </cell>
          <cell r="D349">
            <v>0.28360000000000002</v>
          </cell>
          <cell r="E349">
            <v>8</v>
          </cell>
          <cell r="F349">
            <v>71</v>
          </cell>
          <cell r="G349">
            <v>79</v>
          </cell>
        </row>
        <row r="350">
          <cell r="A350">
            <v>349</v>
          </cell>
          <cell r="B350">
            <v>0.2273</v>
          </cell>
          <cell r="C350">
            <v>0.44</v>
          </cell>
          <cell r="D350">
            <v>0.25369999999999998</v>
          </cell>
          <cell r="E350">
            <v>23</v>
          </cell>
          <cell r="F350">
            <v>70</v>
          </cell>
          <cell r="G350">
            <v>93</v>
          </cell>
        </row>
        <row r="351">
          <cell r="A351">
            <v>350</v>
          </cell>
          <cell r="B351">
            <v>0.21210000000000001</v>
          </cell>
          <cell r="C351">
            <v>0.41</v>
          </cell>
          <cell r="D351">
            <v>0.28360000000000002</v>
          </cell>
          <cell r="E351">
            <v>29</v>
          </cell>
          <cell r="F351">
            <v>75</v>
          </cell>
          <cell r="G351">
            <v>104</v>
          </cell>
        </row>
        <row r="352">
          <cell r="A352">
            <v>351</v>
          </cell>
          <cell r="B352">
            <v>0.2273</v>
          </cell>
          <cell r="C352">
            <v>0.35</v>
          </cell>
          <cell r="D352">
            <v>0.29849999999999999</v>
          </cell>
          <cell r="E352">
            <v>23</v>
          </cell>
          <cell r="F352">
            <v>95</v>
          </cell>
          <cell r="G352">
            <v>118</v>
          </cell>
        </row>
        <row r="353">
          <cell r="A353">
            <v>352</v>
          </cell>
          <cell r="B353">
            <v>0.2727</v>
          </cell>
          <cell r="C353">
            <v>0.36</v>
          </cell>
          <cell r="D353">
            <v>0.25369999999999998</v>
          </cell>
          <cell r="E353">
            <v>22</v>
          </cell>
          <cell r="F353">
            <v>69</v>
          </cell>
          <cell r="G353">
            <v>91</v>
          </cell>
        </row>
        <row r="354">
          <cell r="A354">
            <v>353</v>
          </cell>
          <cell r="B354">
            <v>0.2424</v>
          </cell>
          <cell r="C354">
            <v>0.38</v>
          </cell>
          <cell r="D354">
            <v>0.25369999999999998</v>
          </cell>
          <cell r="E354">
            <v>35</v>
          </cell>
          <cell r="F354">
            <v>78</v>
          </cell>
          <cell r="G354">
            <v>113</v>
          </cell>
        </row>
        <row r="355">
          <cell r="A355">
            <v>354</v>
          </cell>
          <cell r="B355">
            <v>0.2273</v>
          </cell>
          <cell r="C355">
            <v>0.38</v>
          </cell>
          <cell r="D355">
            <v>0.22389999999999999</v>
          </cell>
          <cell r="E355">
            <v>22</v>
          </cell>
          <cell r="F355">
            <v>77</v>
          </cell>
          <cell r="G355">
            <v>99</v>
          </cell>
        </row>
        <row r="356">
          <cell r="A356">
            <v>355</v>
          </cell>
          <cell r="B356">
            <v>0.21210000000000001</v>
          </cell>
          <cell r="C356">
            <v>0.37</v>
          </cell>
          <cell r="D356">
            <v>0.25369999999999998</v>
          </cell>
          <cell r="E356">
            <v>23</v>
          </cell>
          <cell r="F356">
            <v>82</v>
          </cell>
          <cell r="G356">
            <v>105</v>
          </cell>
        </row>
        <row r="357">
          <cell r="A357">
            <v>356</v>
          </cell>
          <cell r="B357">
            <v>0.21210000000000001</v>
          </cell>
          <cell r="C357">
            <v>0.4</v>
          </cell>
          <cell r="D357">
            <v>0.16420000000000001</v>
          </cell>
          <cell r="E357">
            <v>11</v>
          </cell>
          <cell r="F357">
            <v>56</v>
          </cell>
          <cell r="G357">
            <v>67</v>
          </cell>
        </row>
        <row r="358">
          <cell r="A358">
            <v>357</v>
          </cell>
          <cell r="B358">
            <v>0.19700000000000001</v>
          </cell>
          <cell r="C358">
            <v>0.47</v>
          </cell>
          <cell r="D358">
            <v>0.1343</v>
          </cell>
          <cell r="E358">
            <v>14</v>
          </cell>
          <cell r="F358">
            <v>47</v>
          </cell>
          <cell r="G358">
            <v>61</v>
          </cell>
        </row>
        <row r="359">
          <cell r="A359">
            <v>358</v>
          </cell>
          <cell r="B359">
            <v>0.19700000000000001</v>
          </cell>
          <cell r="C359">
            <v>0.47</v>
          </cell>
          <cell r="D359">
            <v>0.16420000000000001</v>
          </cell>
          <cell r="E359">
            <v>7</v>
          </cell>
          <cell r="F359">
            <v>50</v>
          </cell>
          <cell r="G359">
            <v>57</v>
          </cell>
        </row>
        <row r="360">
          <cell r="A360">
            <v>359</v>
          </cell>
          <cell r="B360">
            <v>0.19700000000000001</v>
          </cell>
          <cell r="C360">
            <v>0.51</v>
          </cell>
          <cell r="D360">
            <v>0.16420000000000001</v>
          </cell>
          <cell r="E360">
            <v>6</v>
          </cell>
          <cell r="F360">
            <v>22</v>
          </cell>
          <cell r="G360">
            <v>28</v>
          </cell>
        </row>
        <row r="361">
          <cell r="A361">
            <v>360</v>
          </cell>
          <cell r="B361">
            <v>0.21210000000000001</v>
          </cell>
          <cell r="C361">
            <v>0.49</v>
          </cell>
          <cell r="D361">
            <v>0.1343</v>
          </cell>
          <cell r="E361">
            <v>2</v>
          </cell>
          <cell r="F361">
            <v>19</v>
          </cell>
          <cell r="G361">
            <v>21</v>
          </cell>
        </row>
        <row r="362">
          <cell r="A362">
            <v>361</v>
          </cell>
          <cell r="B362">
            <v>0.2273</v>
          </cell>
          <cell r="C362">
            <v>0.4</v>
          </cell>
          <cell r="D362">
            <v>0.1045</v>
          </cell>
          <cell r="E362">
            <v>0</v>
          </cell>
          <cell r="F362">
            <v>18</v>
          </cell>
          <cell r="G362">
            <v>18</v>
          </cell>
        </row>
        <row r="363">
          <cell r="A363">
            <v>362</v>
          </cell>
          <cell r="B363">
            <v>0.19700000000000001</v>
          </cell>
          <cell r="C363">
            <v>0.47</v>
          </cell>
          <cell r="D363">
            <v>0.22389999999999999</v>
          </cell>
          <cell r="E363">
            <v>1</v>
          </cell>
          <cell r="F363">
            <v>16</v>
          </cell>
          <cell r="G363">
            <v>17</v>
          </cell>
        </row>
        <row r="364">
          <cell r="A364">
            <v>363</v>
          </cell>
          <cell r="B364">
            <v>0.19700000000000001</v>
          </cell>
          <cell r="C364">
            <v>0.44</v>
          </cell>
          <cell r="D364">
            <v>0.19400000000000001</v>
          </cell>
          <cell r="E364">
            <v>1</v>
          </cell>
          <cell r="F364">
            <v>15</v>
          </cell>
          <cell r="G364">
            <v>16</v>
          </cell>
        </row>
        <row r="365">
          <cell r="A365">
            <v>364</v>
          </cell>
          <cell r="B365">
            <v>0.16669999999999999</v>
          </cell>
          <cell r="C365">
            <v>0.43</v>
          </cell>
          <cell r="D365">
            <v>0.25369999999999998</v>
          </cell>
          <cell r="E365">
            <v>0</v>
          </cell>
          <cell r="F365">
            <v>8</v>
          </cell>
          <cell r="G365">
            <v>8</v>
          </cell>
        </row>
        <row r="366">
          <cell r="A366">
            <v>365</v>
          </cell>
          <cell r="B366">
            <v>0.18179999999999999</v>
          </cell>
          <cell r="C366">
            <v>0.43</v>
          </cell>
          <cell r="D366">
            <v>0.19400000000000001</v>
          </cell>
          <cell r="E366">
            <v>0</v>
          </cell>
          <cell r="F366">
            <v>2</v>
          </cell>
          <cell r="G366">
            <v>2</v>
          </cell>
        </row>
        <row r="367">
          <cell r="A367">
            <v>366</v>
          </cell>
          <cell r="B367">
            <v>0.19700000000000001</v>
          </cell>
          <cell r="C367">
            <v>0.43</v>
          </cell>
          <cell r="D367">
            <v>0.1343</v>
          </cell>
          <cell r="E367">
            <v>1</v>
          </cell>
          <cell r="F367">
            <v>2</v>
          </cell>
          <cell r="G367">
            <v>3</v>
          </cell>
        </row>
        <row r="368">
          <cell r="A368">
            <v>367</v>
          </cell>
          <cell r="B368">
            <v>0.19700000000000001</v>
          </cell>
          <cell r="C368">
            <v>0.43</v>
          </cell>
          <cell r="D368">
            <v>0.16420000000000001</v>
          </cell>
          <cell r="E368">
            <v>0</v>
          </cell>
          <cell r="F368">
            <v>1</v>
          </cell>
          <cell r="G368">
            <v>1</v>
          </cell>
        </row>
        <row r="369">
          <cell r="A369">
            <v>368</v>
          </cell>
          <cell r="B369">
            <v>0.18179999999999999</v>
          </cell>
          <cell r="C369">
            <v>0.43</v>
          </cell>
          <cell r="D369">
            <v>0.19400000000000001</v>
          </cell>
          <cell r="E369">
            <v>0</v>
          </cell>
          <cell r="F369">
            <v>5</v>
          </cell>
          <cell r="G369">
            <v>5</v>
          </cell>
        </row>
        <row r="370">
          <cell r="A370">
            <v>369</v>
          </cell>
          <cell r="B370">
            <v>0.18179999999999999</v>
          </cell>
          <cell r="C370">
            <v>0.5</v>
          </cell>
          <cell r="D370">
            <v>0.1343</v>
          </cell>
          <cell r="E370">
            <v>4</v>
          </cell>
          <cell r="F370">
            <v>9</v>
          </cell>
          <cell r="G370">
            <v>13</v>
          </cell>
        </row>
        <row r="371">
          <cell r="A371">
            <v>370</v>
          </cell>
          <cell r="B371">
            <v>0.1515</v>
          </cell>
          <cell r="C371">
            <v>0.47</v>
          </cell>
          <cell r="D371">
            <v>0.22389999999999999</v>
          </cell>
          <cell r="E371">
            <v>3</v>
          </cell>
          <cell r="F371">
            <v>30</v>
          </cell>
          <cell r="G371">
            <v>33</v>
          </cell>
        </row>
        <row r="372">
          <cell r="A372">
            <v>371</v>
          </cell>
          <cell r="B372">
            <v>0.1515</v>
          </cell>
          <cell r="C372">
            <v>0.47</v>
          </cell>
          <cell r="D372">
            <v>0.22389999999999999</v>
          </cell>
          <cell r="E372">
            <v>8</v>
          </cell>
          <cell r="F372">
            <v>39</v>
          </cell>
          <cell r="G372">
            <v>47</v>
          </cell>
        </row>
        <row r="373">
          <cell r="A373">
            <v>372</v>
          </cell>
          <cell r="B373">
            <v>0.1515</v>
          </cell>
          <cell r="C373">
            <v>0.5</v>
          </cell>
          <cell r="D373">
            <v>0.25369999999999998</v>
          </cell>
          <cell r="E373">
            <v>7</v>
          </cell>
          <cell r="F373">
            <v>50</v>
          </cell>
          <cell r="G373">
            <v>57</v>
          </cell>
        </row>
        <row r="374">
          <cell r="A374">
            <v>373</v>
          </cell>
          <cell r="B374">
            <v>0.1515</v>
          </cell>
          <cell r="C374">
            <v>0.55000000000000004</v>
          </cell>
          <cell r="D374">
            <v>0.19400000000000001</v>
          </cell>
          <cell r="E374">
            <v>9</v>
          </cell>
          <cell r="F374">
            <v>55</v>
          </cell>
          <cell r="G374">
            <v>64</v>
          </cell>
        </row>
        <row r="375">
          <cell r="A375">
            <v>374</v>
          </cell>
          <cell r="B375">
            <v>0.19700000000000001</v>
          </cell>
          <cell r="C375">
            <v>0.47</v>
          </cell>
          <cell r="D375">
            <v>0.1343</v>
          </cell>
          <cell r="E375">
            <v>10</v>
          </cell>
          <cell r="F375">
            <v>70</v>
          </cell>
          <cell r="G375">
            <v>80</v>
          </cell>
        </row>
        <row r="376">
          <cell r="A376">
            <v>375</v>
          </cell>
          <cell r="B376">
            <v>0.19700000000000001</v>
          </cell>
          <cell r="C376">
            <v>0.47</v>
          </cell>
          <cell r="D376">
            <v>0.1343</v>
          </cell>
          <cell r="E376">
            <v>13</v>
          </cell>
          <cell r="F376">
            <v>80</v>
          </cell>
          <cell r="G376">
            <v>93</v>
          </cell>
        </row>
        <row r="377">
          <cell r="A377">
            <v>376</v>
          </cell>
          <cell r="B377">
            <v>0.21210000000000001</v>
          </cell>
          <cell r="C377">
            <v>0.43</v>
          </cell>
          <cell r="D377">
            <v>0.1045</v>
          </cell>
          <cell r="E377">
            <v>12</v>
          </cell>
          <cell r="F377">
            <v>74</v>
          </cell>
          <cell r="G377">
            <v>86</v>
          </cell>
        </row>
        <row r="378">
          <cell r="A378">
            <v>377</v>
          </cell>
          <cell r="B378">
            <v>0.21210000000000001</v>
          </cell>
          <cell r="C378">
            <v>0.47</v>
          </cell>
          <cell r="D378">
            <v>0.16420000000000001</v>
          </cell>
          <cell r="E378">
            <v>21</v>
          </cell>
          <cell r="F378">
            <v>72</v>
          </cell>
          <cell r="G378">
            <v>93</v>
          </cell>
        </row>
        <row r="379">
          <cell r="A379">
            <v>378</v>
          </cell>
          <cell r="B379">
            <v>0.21210000000000001</v>
          </cell>
          <cell r="C379">
            <v>0.47</v>
          </cell>
          <cell r="D379">
            <v>0.16420000000000001</v>
          </cell>
          <cell r="E379">
            <v>6</v>
          </cell>
          <cell r="F379">
            <v>76</v>
          </cell>
          <cell r="G379">
            <v>82</v>
          </cell>
        </row>
        <row r="380">
          <cell r="A380">
            <v>379</v>
          </cell>
          <cell r="B380">
            <v>0.19700000000000001</v>
          </cell>
          <cell r="C380">
            <v>0.51</v>
          </cell>
          <cell r="D380">
            <v>0.19400000000000001</v>
          </cell>
          <cell r="E380">
            <v>4</v>
          </cell>
          <cell r="F380">
            <v>67</v>
          </cell>
          <cell r="G380">
            <v>71</v>
          </cell>
        </row>
        <row r="381">
          <cell r="A381">
            <v>380</v>
          </cell>
          <cell r="B381">
            <v>0.16669999999999999</v>
          </cell>
          <cell r="C381">
            <v>0.55000000000000004</v>
          </cell>
          <cell r="D381">
            <v>0.25369999999999998</v>
          </cell>
          <cell r="E381">
            <v>7</v>
          </cell>
          <cell r="F381">
            <v>85</v>
          </cell>
          <cell r="G381">
            <v>92</v>
          </cell>
        </row>
        <row r="382">
          <cell r="A382">
            <v>381</v>
          </cell>
          <cell r="B382">
            <v>0.18179999999999999</v>
          </cell>
          <cell r="C382">
            <v>0.59</v>
          </cell>
          <cell r="D382">
            <v>0.19400000000000001</v>
          </cell>
          <cell r="E382">
            <v>2</v>
          </cell>
          <cell r="F382">
            <v>58</v>
          </cell>
          <cell r="G382">
            <v>60</v>
          </cell>
        </row>
        <row r="383">
          <cell r="A383">
            <v>382</v>
          </cell>
          <cell r="B383">
            <v>0.1515</v>
          </cell>
          <cell r="C383">
            <v>0.8</v>
          </cell>
          <cell r="D383">
            <v>0.19400000000000001</v>
          </cell>
          <cell r="E383">
            <v>4</v>
          </cell>
          <cell r="F383">
            <v>29</v>
          </cell>
          <cell r="G383">
            <v>33</v>
          </cell>
        </row>
        <row r="384">
          <cell r="A384">
            <v>383</v>
          </cell>
          <cell r="B384">
            <v>0.1515</v>
          </cell>
          <cell r="C384">
            <v>0.8</v>
          </cell>
          <cell r="D384">
            <v>0.19400000000000001</v>
          </cell>
          <cell r="E384">
            <v>3</v>
          </cell>
          <cell r="F384">
            <v>24</v>
          </cell>
          <cell r="G384">
            <v>27</v>
          </cell>
        </row>
        <row r="385">
          <cell r="A385">
            <v>384</v>
          </cell>
          <cell r="B385">
            <v>0.1212</v>
          </cell>
          <cell r="C385">
            <v>0.93</v>
          </cell>
          <cell r="D385">
            <v>0.25369999999999998</v>
          </cell>
          <cell r="E385">
            <v>0</v>
          </cell>
          <cell r="F385">
            <v>13</v>
          </cell>
          <cell r="G385">
            <v>13</v>
          </cell>
        </row>
        <row r="386">
          <cell r="A386">
            <v>385</v>
          </cell>
          <cell r="B386">
            <v>0.13639999999999999</v>
          </cell>
          <cell r="C386">
            <v>0.86</v>
          </cell>
          <cell r="D386">
            <v>0.28360000000000002</v>
          </cell>
          <cell r="E386">
            <v>1</v>
          </cell>
          <cell r="F386">
            <v>3</v>
          </cell>
          <cell r="G386">
            <v>4</v>
          </cell>
        </row>
        <row r="387">
          <cell r="A387">
            <v>386</v>
          </cell>
          <cell r="B387">
            <v>0.18179999999999999</v>
          </cell>
          <cell r="C387">
            <v>0.86</v>
          </cell>
          <cell r="D387">
            <v>0.32840000000000003</v>
          </cell>
          <cell r="E387">
            <v>0</v>
          </cell>
          <cell r="F387">
            <v>3</v>
          </cell>
          <cell r="G387">
            <v>3</v>
          </cell>
        </row>
        <row r="388">
          <cell r="A388">
            <v>387</v>
          </cell>
          <cell r="B388">
            <v>0.19700000000000001</v>
          </cell>
          <cell r="C388">
            <v>0.86</v>
          </cell>
          <cell r="D388">
            <v>0.22389999999999999</v>
          </cell>
          <cell r="E388">
            <v>0</v>
          </cell>
          <cell r="F388">
            <v>22</v>
          </cell>
          <cell r="G388">
            <v>22</v>
          </cell>
        </row>
        <row r="389">
          <cell r="A389">
            <v>388</v>
          </cell>
          <cell r="B389">
            <v>0.2273</v>
          </cell>
          <cell r="C389">
            <v>0.8</v>
          </cell>
          <cell r="D389">
            <v>0.16420000000000001</v>
          </cell>
          <cell r="E389">
            <v>2</v>
          </cell>
          <cell r="F389">
            <v>26</v>
          </cell>
          <cell r="G389">
            <v>28</v>
          </cell>
        </row>
        <row r="390">
          <cell r="A390">
            <v>389</v>
          </cell>
          <cell r="B390">
            <v>0.2273</v>
          </cell>
          <cell r="C390">
            <v>0.87</v>
          </cell>
          <cell r="D390">
            <v>0.16420000000000001</v>
          </cell>
          <cell r="E390">
            <v>3</v>
          </cell>
          <cell r="F390">
            <v>32</v>
          </cell>
          <cell r="G390">
            <v>35</v>
          </cell>
        </row>
        <row r="391">
          <cell r="A391">
            <v>390</v>
          </cell>
          <cell r="B391">
            <v>0.2273</v>
          </cell>
          <cell r="C391">
            <v>0.87</v>
          </cell>
          <cell r="D391">
            <v>0.19400000000000001</v>
          </cell>
          <cell r="E391">
            <v>0</v>
          </cell>
          <cell r="F391">
            <v>61</v>
          </cell>
          <cell r="G391">
            <v>61</v>
          </cell>
        </row>
        <row r="392">
          <cell r="A392">
            <v>391</v>
          </cell>
          <cell r="B392">
            <v>0.2273</v>
          </cell>
          <cell r="C392">
            <v>0.82</v>
          </cell>
          <cell r="D392">
            <v>0.19400000000000001</v>
          </cell>
          <cell r="E392">
            <v>1</v>
          </cell>
          <cell r="F392">
            <v>124</v>
          </cell>
          <cell r="G392">
            <v>125</v>
          </cell>
        </row>
        <row r="393">
          <cell r="A393">
            <v>392</v>
          </cell>
          <cell r="B393">
            <v>0.2273</v>
          </cell>
          <cell r="C393">
            <v>0.8</v>
          </cell>
          <cell r="D393">
            <v>0.16420000000000001</v>
          </cell>
          <cell r="E393">
            <v>1</v>
          </cell>
          <cell r="F393">
            <v>132</v>
          </cell>
          <cell r="G393">
            <v>133</v>
          </cell>
        </row>
        <row r="394">
          <cell r="A394">
            <v>393</v>
          </cell>
          <cell r="B394">
            <v>0.2273</v>
          </cell>
          <cell r="C394">
            <v>0.8</v>
          </cell>
          <cell r="D394">
            <v>0.1343</v>
          </cell>
          <cell r="E394">
            <v>1</v>
          </cell>
          <cell r="F394">
            <v>98</v>
          </cell>
          <cell r="G394">
            <v>99</v>
          </cell>
        </row>
        <row r="395">
          <cell r="A395">
            <v>394</v>
          </cell>
          <cell r="B395">
            <v>0.2727</v>
          </cell>
          <cell r="C395">
            <v>0.87</v>
          </cell>
          <cell r="D395">
            <v>0</v>
          </cell>
          <cell r="E395">
            <v>0</v>
          </cell>
          <cell r="F395">
            <v>83</v>
          </cell>
          <cell r="G395">
            <v>83</v>
          </cell>
        </row>
        <row r="396">
          <cell r="A396">
            <v>395</v>
          </cell>
          <cell r="B396">
            <v>0.2424</v>
          </cell>
          <cell r="C396">
            <v>0.93</v>
          </cell>
          <cell r="D396">
            <v>0.1045</v>
          </cell>
          <cell r="E396">
            <v>0</v>
          </cell>
          <cell r="F396">
            <v>41</v>
          </cell>
          <cell r="G396">
            <v>41</v>
          </cell>
        </row>
        <row r="397">
          <cell r="A397">
            <v>396</v>
          </cell>
          <cell r="B397">
            <v>0.2576</v>
          </cell>
          <cell r="C397">
            <v>0.93</v>
          </cell>
          <cell r="D397">
            <v>8.9599999999999999E-2</v>
          </cell>
          <cell r="E397">
            <v>0</v>
          </cell>
          <cell r="F397">
            <v>33</v>
          </cell>
          <cell r="G397">
            <v>33</v>
          </cell>
        </row>
        <row r="398">
          <cell r="A398">
            <v>397</v>
          </cell>
          <cell r="B398">
            <v>0.2727</v>
          </cell>
          <cell r="C398">
            <v>0.93</v>
          </cell>
          <cell r="D398">
            <v>0</v>
          </cell>
          <cell r="E398">
            <v>1</v>
          </cell>
          <cell r="F398">
            <v>19</v>
          </cell>
          <cell r="G398">
            <v>20</v>
          </cell>
        </row>
        <row r="399">
          <cell r="A399">
            <v>398</v>
          </cell>
          <cell r="B399">
            <v>0.2727</v>
          </cell>
          <cell r="C399">
            <v>0.93</v>
          </cell>
          <cell r="D399">
            <v>0</v>
          </cell>
          <cell r="E399">
            <v>0</v>
          </cell>
          <cell r="F399">
            <v>3</v>
          </cell>
          <cell r="G399">
            <v>3</v>
          </cell>
        </row>
        <row r="400">
          <cell r="A400">
            <v>399</v>
          </cell>
          <cell r="B400">
            <v>0.2273</v>
          </cell>
          <cell r="C400">
            <v>0.93</v>
          </cell>
          <cell r="D400">
            <v>0.1343</v>
          </cell>
          <cell r="E400">
            <v>1</v>
          </cell>
          <cell r="F400">
            <v>6</v>
          </cell>
          <cell r="G400">
            <v>7</v>
          </cell>
        </row>
        <row r="401">
          <cell r="A401">
            <v>400</v>
          </cell>
          <cell r="B401">
            <v>0.2273</v>
          </cell>
          <cell r="C401">
            <v>0.93</v>
          </cell>
          <cell r="D401">
            <v>0.1343</v>
          </cell>
          <cell r="E401">
            <v>0</v>
          </cell>
          <cell r="F401">
            <v>3</v>
          </cell>
          <cell r="G401">
            <v>3</v>
          </cell>
        </row>
        <row r="402">
          <cell r="A402">
            <v>401</v>
          </cell>
          <cell r="B402">
            <v>0.2273</v>
          </cell>
          <cell r="C402">
            <v>0.93</v>
          </cell>
          <cell r="D402">
            <v>0.1343</v>
          </cell>
          <cell r="E402">
            <v>1</v>
          </cell>
          <cell r="F402">
            <v>1</v>
          </cell>
          <cell r="G402">
            <v>2</v>
          </cell>
        </row>
        <row r="403">
          <cell r="A403">
            <v>402</v>
          </cell>
          <cell r="B403">
            <v>0.2576</v>
          </cell>
          <cell r="C403">
            <v>0.93</v>
          </cell>
          <cell r="D403">
            <v>8.9599999999999999E-2</v>
          </cell>
          <cell r="E403">
            <v>0</v>
          </cell>
          <cell r="F403">
            <v>7</v>
          </cell>
          <cell r="G403">
            <v>7</v>
          </cell>
        </row>
        <row r="404">
          <cell r="A404">
            <v>403</v>
          </cell>
          <cell r="B404">
            <v>0.2576</v>
          </cell>
          <cell r="C404">
            <v>0.93</v>
          </cell>
          <cell r="D404">
            <v>8.9599999999999999E-2</v>
          </cell>
          <cell r="E404">
            <v>0</v>
          </cell>
          <cell r="F404">
            <v>32</v>
          </cell>
          <cell r="G404">
            <v>32</v>
          </cell>
        </row>
        <row r="405">
          <cell r="A405">
            <v>404</v>
          </cell>
          <cell r="B405">
            <v>0.2576</v>
          </cell>
          <cell r="C405">
            <v>0.92</v>
          </cell>
          <cell r="D405">
            <v>0.1045</v>
          </cell>
          <cell r="E405">
            <v>1</v>
          </cell>
          <cell r="F405">
            <v>89</v>
          </cell>
          <cell r="G405">
            <v>90</v>
          </cell>
        </row>
        <row r="406">
          <cell r="A406">
            <v>405</v>
          </cell>
          <cell r="B406">
            <v>0.2576</v>
          </cell>
          <cell r="C406">
            <v>0.93</v>
          </cell>
          <cell r="D406">
            <v>0.1045</v>
          </cell>
          <cell r="E406">
            <v>1</v>
          </cell>
          <cell r="F406">
            <v>196</v>
          </cell>
          <cell r="G406">
            <v>197</v>
          </cell>
        </row>
        <row r="407">
          <cell r="A407">
            <v>406</v>
          </cell>
          <cell r="B407">
            <v>0.2576</v>
          </cell>
          <cell r="C407">
            <v>0.93</v>
          </cell>
          <cell r="D407">
            <v>0.1045</v>
          </cell>
          <cell r="E407">
            <v>2</v>
          </cell>
          <cell r="F407">
            <v>107</v>
          </cell>
          <cell r="G407">
            <v>109</v>
          </cell>
        </row>
        <row r="408">
          <cell r="A408">
            <v>407</v>
          </cell>
          <cell r="B408">
            <v>0.2727</v>
          </cell>
          <cell r="C408">
            <v>0.93</v>
          </cell>
          <cell r="D408">
            <v>0.1343</v>
          </cell>
          <cell r="E408">
            <v>1</v>
          </cell>
          <cell r="F408">
            <v>46</v>
          </cell>
          <cell r="G408">
            <v>47</v>
          </cell>
        </row>
        <row r="409">
          <cell r="A409">
            <v>408</v>
          </cell>
          <cell r="B409">
            <v>0.30299999999999999</v>
          </cell>
          <cell r="C409">
            <v>0.87</v>
          </cell>
          <cell r="D409">
            <v>8.9599999999999999E-2</v>
          </cell>
          <cell r="E409">
            <v>5</v>
          </cell>
          <cell r="F409">
            <v>47</v>
          </cell>
          <cell r="G409">
            <v>52</v>
          </cell>
        </row>
        <row r="410">
          <cell r="A410">
            <v>409</v>
          </cell>
          <cell r="B410">
            <v>0.31819999999999998</v>
          </cell>
          <cell r="C410">
            <v>0.81</v>
          </cell>
          <cell r="D410">
            <v>8.9599999999999999E-2</v>
          </cell>
          <cell r="E410">
            <v>5</v>
          </cell>
          <cell r="F410">
            <v>65</v>
          </cell>
          <cell r="G410">
            <v>70</v>
          </cell>
        </row>
        <row r="411">
          <cell r="A411">
            <v>410</v>
          </cell>
          <cell r="B411">
            <v>0.40910000000000002</v>
          </cell>
          <cell r="C411">
            <v>0.62</v>
          </cell>
          <cell r="D411">
            <v>0.28360000000000002</v>
          </cell>
          <cell r="E411">
            <v>11</v>
          </cell>
          <cell r="F411">
            <v>67</v>
          </cell>
          <cell r="G411">
            <v>78</v>
          </cell>
        </row>
        <row r="412">
          <cell r="A412">
            <v>411</v>
          </cell>
          <cell r="B412">
            <v>0.40910000000000002</v>
          </cell>
          <cell r="C412">
            <v>0.57999999999999996</v>
          </cell>
          <cell r="D412">
            <v>0.25369999999999998</v>
          </cell>
          <cell r="E412">
            <v>7</v>
          </cell>
          <cell r="F412">
            <v>68</v>
          </cell>
          <cell r="G412">
            <v>75</v>
          </cell>
        </row>
        <row r="413">
          <cell r="A413">
            <v>412</v>
          </cell>
          <cell r="B413">
            <v>0.40910000000000002</v>
          </cell>
          <cell r="C413">
            <v>0.54</v>
          </cell>
          <cell r="D413">
            <v>0.28360000000000002</v>
          </cell>
          <cell r="E413">
            <v>4</v>
          </cell>
          <cell r="F413">
            <v>78</v>
          </cell>
          <cell r="G413">
            <v>82</v>
          </cell>
        </row>
        <row r="414">
          <cell r="A414">
            <v>413</v>
          </cell>
          <cell r="B414">
            <v>0.39389999999999997</v>
          </cell>
          <cell r="C414">
            <v>0.57999999999999996</v>
          </cell>
          <cell r="D414">
            <v>0.3881</v>
          </cell>
          <cell r="E414">
            <v>10</v>
          </cell>
          <cell r="F414">
            <v>94</v>
          </cell>
          <cell r="G414">
            <v>104</v>
          </cell>
        </row>
        <row r="415">
          <cell r="A415">
            <v>414</v>
          </cell>
          <cell r="B415">
            <v>0.33329999999999999</v>
          </cell>
          <cell r="C415">
            <v>0.56999999999999995</v>
          </cell>
          <cell r="D415">
            <v>0.32840000000000003</v>
          </cell>
          <cell r="E415">
            <v>7</v>
          </cell>
          <cell r="F415">
            <v>190</v>
          </cell>
          <cell r="G415">
            <v>197</v>
          </cell>
        </row>
        <row r="416">
          <cell r="A416">
            <v>415</v>
          </cell>
          <cell r="B416">
            <v>0.31819999999999998</v>
          </cell>
          <cell r="C416">
            <v>0.61</v>
          </cell>
          <cell r="D416">
            <v>0.28360000000000002</v>
          </cell>
          <cell r="E416">
            <v>5</v>
          </cell>
          <cell r="F416">
            <v>156</v>
          </cell>
          <cell r="G416">
            <v>161</v>
          </cell>
        </row>
        <row r="417">
          <cell r="A417">
            <v>416</v>
          </cell>
          <cell r="B417">
            <v>0.28789999999999999</v>
          </cell>
          <cell r="C417">
            <v>0.56999999999999995</v>
          </cell>
          <cell r="D417">
            <v>0.41789999999999999</v>
          </cell>
          <cell r="E417">
            <v>4</v>
          </cell>
          <cell r="F417">
            <v>108</v>
          </cell>
          <cell r="G417">
            <v>112</v>
          </cell>
        </row>
        <row r="418">
          <cell r="A418">
            <v>417</v>
          </cell>
          <cell r="B418">
            <v>0.30299999999999999</v>
          </cell>
          <cell r="C418">
            <v>0.49</v>
          </cell>
          <cell r="D418">
            <v>0.29849999999999999</v>
          </cell>
          <cell r="E418">
            <v>2</v>
          </cell>
          <cell r="F418">
            <v>74</v>
          </cell>
          <cell r="G418">
            <v>76</v>
          </cell>
        </row>
        <row r="419">
          <cell r="A419">
            <v>418</v>
          </cell>
          <cell r="B419">
            <v>0.28789999999999999</v>
          </cell>
          <cell r="C419">
            <v>0.49</v>
          </cell>
          <cell r="D419">
            <v>0.41789999999999999</v>
          </cell>
          <cell r="E419">
            <v>4</v>
          </cell>
          <cell r="F419">
            <v>55</v>
          </cell>
          <cell r="G419">
            <v>59</v>
          </cell>
        </row>
        <row r="420">
          <cell r="A420">
            <v>419</v>
          </cell>
          <cell r="B420">
            <v>0.30299999999999999</v>
          </cell>
          <cell r="C420">
            <v>0.52</v>
          </cell>
          <cell r="D420">
            <v>0.16420000000000001</v>
          </cell>
          <cell r="E420">
            <v>6</v>
          </cell>
          <cell r="F420">
            <v>53</v>
          </cell>
          <cell r="G420">
            <v>59</v>
          </cell>
        </row>
        <row r="421">
          <cell r="A421">
            <v>420</v>
          </cell>
          <cell r="B421">
            <v>0.2727</v>
          </cell>
          <cell r="C421">
            <v>0.52</v>
          </cell>
          <cell r="D421">
            <v>0.4627</v>
          </cell>
          <cell r="E421">
            <v>1</v>
          </cell>
          <cell r="F421">
            <v>27</v>
          </cell>
          <cell r="G421">
            <v>28</v>
          </cell>
        </row>
        <row r="422">
          <cell r="A422">
            <v>421</v>
          </cell>
          <cell r="B422">
            <v>0.2273</v>
          </cell>
          <cell r="C422">
            <v>0.56000000000000005</v>
          </cell>
          <cell r="D422">
            <v>0.3881</v>
          </cell>
          <cell r="E422">
            <v>5</v>
          </cell>
          <cell r="F422">
            <v>8</v>
          </cell>
          <cell r="G422">
            <v>13</v>
          </cell>
        </row>
        <row r="423">
          <cell r="A423">
            <v>422</v>
          </cell>
          <cell r="B423">
            <v>0.2727</v>
          </cell>
          <cell r="C423">
            <v>0.56000000000000005</v>
          </cell>
          <cell r="D423">
            <v>0</v>
          </cell>
          <cell r="E423">
            <v>2</v>
          </cell>
          <cell r="F423">
            <v>3</v>
          </cell>
          <cell r="G423">
            <v>5</v>
          </cell>
        </row>
        <row r="424">
          <cell r="A424">
            <v>423</v>
          </cell>
          <cell r="B424">
            <v>0.2727</v>
          </cell>
          <cell r="C424">
            <v>0.56000000000000005</v>
          </cell>
          <cell r="D424">
            <v>0</v>
          </cell>
          <cell r="E424">
            <v>0</v>
          </cell>
          <cell r="F424">
            <v>2</v>
          </cell>
          <cell r="G424">
            <v>2</v>
          </cell>
        </row>
        <row r="425">
          <cell r="A425">
            <v>424</v>
          </cell>
          <cell r="B425">
            <v>0.2576</v>
          </cell>
          <cell r="C425">
            <v>0.56000000000000005</v>
          </cell>
          <cell r="D425">
            <v>0.16420000000000001</v>
          </cell>
          <cell r="E425">
            <v>0</v>
          </cell>
          <cell r="F425">
            <v>1</v>
          </cell>
          <cell r="G425">
            <v>1</v>
          </cell>
        </row>
        <row r="426">
          <cell r="A426">
            <v>425</v>
          </cell>
          <cell r="B426">
            <v>0.2576</v>
          </cell>
          <cell r="C426">
            <v>0.56000000000000005</v>
          </cell>
          <cell r="D426">
            <v>0.16420000000000001</v>
          </cell>
          <cell r="E426">
            <v>0</v>
          </cell>
          <cell r="F426">
            <v>1</v>
          </cell>
          <cell r="G426">
            <v>1</v>
          </cell>
        </row>
        <row r="427">
          <cell r="A427">
            <v>426</v>
          </cell>
          <cell r="B427">
            <v>0.2273</v>
          </cell>
          <cell r="C427">
            <v>0.6</v>
          </cell>
          <cell r="D427">
            <v>0.22389999999999999</v>
          </cell>
          <cell r="E427">
            <v>0</v>
          </cell>
          <cell r="F427">
            <v>6</v>
          </cell>
          <cell r="G427">
            <v>6</v>
          </cell>
        </row>
        <row r="428">
          <cell r="A428">
            <v>427</v>
          </cell>
          <cell r="B428">
            <v>0.21210000000000001</v>
          </cell>
          <cell r="C428">
            <v>0.6</v>
          </cell>
          <cell r="D428">
            <v>0.22389999999999999</v>
          </cell>
          <cell r="E428">
            <v>0</v>
          </cell>
          <cell r="F428">
            <v>35</v>
          </cell>
          <cell r="G428">
            <v>35</v>
          </cell>
        </row>
        <row r="429">
          <cell r="A429">
            <v>428</v>
          </cell>
          <cell r="B429">
            <v>0.21210000000000001</v>
          </cell>
          <cell r="C429">
            <v>0.55000000000000004</v>
          </cell>
          <cell r="D429">
            <v>0.22389999999999999</v>
          </cell>
          <cell r="E429">
            <v>1</v>
          </cell>
          <cell r="F429">
            <v>100</v>
          </cell>
          <cell r="G429">
            <v>101</v>
          </cell>
        </row>
        <row r="430">
          <cell r="A430">
            <v>429</v>
          </cell>
          <cell r="B430">
            <v>0.21210000000000001</v>
          </cell>
          <cell r="C430">
            <v>0.55000000000000004</v>
          </cell>
          <cell r="D430">
            <v>0.28360000000000002</v>
          </cell>
          <cell r="E430">
            <v>2</v>
          </cell>
          <cell r="F430">
            <v>247</v>
          </cell>
          <cell r="G430">
            <v>249</v>
          </cell>
        </row>
        <row r="431">
          <cell r="A431">
            <v>430</v>
          </cell>
          <cell r="B431">
            <v>0.2273</v>
          </cell>
          <cell r="C431">
            <v>0.52</v>
          </cell>
          <cell r="D431">
            <v>0.22389999999999999</v>
          </cell>
          <cell r="E431">
            <v>3</v>
          </cell>
          <cell r="F431">
            <v>140</v>
          </cell>
          <cell r="G431">
            <v>143</v>
          </cell>
        </row>
        <row r="432">
          <cell r="A432">
            <v>431</v>
          </cell>
          <cell r="B432">
            <v>0.2273</v>
          </cell>
          <cell r="C432">
            <v>0.48</v>
          </cell>
          <cell r="D432">
            <v>0.29849999999999999</v>
          </cell>
          <cell r="E432">
            <v>1</v>
          </cell>
          <cell r="F432">
            <v>56</v>
          </cell>
          <cell r="G432">
            <v>57</v>
          </cell>
        </row>
        <row r="433">
          <cell r="A433">
            <v>432</v>
          </cell>
          <cell r="B433">
            <v>0.2727</v>
          </cell>
          <cell r="C433">
            <v>0.45</v>
          </cell>
          <cell r="D433">
            <v>0.16420000000000001</v>
          </cell>
          <cell r="E433">
            <v>5</v>
          </cell>
          <cell r="F433">
            <v>63</v>
          </cell>
          <cell r="G433">
            <v>68</v>
          </cell>
        </row>
        <row r="434">
          <cell r="A434">
            <v>433</v>
          </cell>
          <cell r="B434">
            <v>0.33329999999999999</v>
          </cell>
          <cell r="C434">
            <v>0.42</v>
          </cell>
          <cell r="D434">
            <v>0</v>
          </cell>
          <cell r="E434">
            <v>7</v>
          </cell>
          <cell r="F434">
            <v>77</v>
          </cell>
          <cell r="G434">
            <v>84</v>
          </cell>
        </row>
        <row r="435">
          <cell r="A435">
            <v>434</v>
          </cell>
          <cell r="B435">
            <v>0.28789999999999999</v>
          </cell>
          <cell r="C435">
            <v>0.45</v>
          </cell>
          <cell r="D435">
            <v>0.1045</v>
          </cell>
          <cell r="E435">
            <v>12</v>
          </cell>
          <cell r="F435">
            <v>86</v>
          </cell>
          <cell r="G435">
            <v>98</v>
          </cell>
        </row>
        <row r="436">
          <cell r="A436">
            <v>435</v>
          </cell>
          <cell r="B436">
            <v>0.30299999999999999</v>
          </cell>
          <cell r="C436">
            <v>0.45</v>
          </cell>
          <cell r="D436">
            <v>0.1343</v>
          </cell>
          <cell r="E436">
            <v>6</v>
          </cell>
          <cell r="F436">
            <v>75</v>
          </cell>
          <cell r="G436">
            <v>81</v>
          </cell>
        </row>
        <row r="437">
          <cell r="A437">
            <v>436</v>
          </cell>
          <cell r="B437">
            <v>0.31819999999999998</v>
          </cell>
          <cell r="C437">
            <v>0.45</v>
          </cell>
          <cell r="D437">
            <v>0.19400000000000001</v>
          </cell>
          <cell r="E437">
            <v>8</v>
          </cell>
          <cell r="F437">
            <v>62</v>
          </cell>
          <cell r="G437">
            <v>70</v>
          </cell>
        </row>
        <row r="438">
          <cell r="A438">
            <v>437</v>
          </cell>
          <cell r="B438">
            <v>0.30299999999999999</v>
          </cell>
          <cell r="C438">
            <v>0.49</v>
          </cell>
          <cell r="D438">
            <v>0.1343</v>
          </cell>
          <cell r="E438">
            <v>8</v>
          </cell>
          <cell r="F438">
            <v>83</v>
          </cell>
          <cell r="G438">
            <v>91</v>
          </cell>
        </row>
        <row r="439">
          <cell r="A439">
            <v>438</v>
          </cell>
          <cell r="B439">
            <v>0.31819999999999998</v>
          </cell>
          <cell r="C439">
            <v>0.49</v>
          </cell>
          <cell r="D439">
            <v>0.1045</v>
          </cell>
          <cell r="E439">
            <v>8</v>
          </cell>
          <cell r="F439">
            <v>207</v>
          </cell>
          <cell r="G439">
            <v>215</v>
          </cell>
        </row>
        <row r="440">
          <cell r="A440">
            <v>439</v>
          </cell>
          <cell r="B440">
            <v>0.2576</v>
          </cell>
          <cell r="C440">
            <v>0.56000000000000005</v>
          </cell>
          <cell r="D440">
            <v>0.19400000000000001</v>
          </cell>
          <cell r="E440">
            <v>1</v>
          </cell>
          <cell r="F440">
            <v>184</v>
          </cell>
          <cell r="G440">
            <v>185</v>
          </cell>
        </row>
        <row r="441">
          <cell r="A441">
            <v>440</v>
          </cell>
          <cell r="B441">
            <v>0.2273</v>
          </cell>
          <cell r="C441">
            <v>0.56000000000000005</v>
          </cell>
          <cell r="D441">
            <v>0.32840000000000003</v>
          </cell>
          <cell r="E441">
            <v>6</v>
          </cell>
          <cell r="F441">
            <v>146</v>
          </cell>
          <cell r="G441">
            <v>152</v>
          </cell>
        </row>
        <row r="442">
          <cell r="A442">
            <v>441</v>
          </cell>
          <cell r="B442">
            <v>0.2424</v>
          </cell>
          <cell r="C442">
            <v>0.6</v>
          </cell>
          <cell r="D442">
            <v>0.28360000000000002</v>
          </cell>
          <cell r="E442">
            <v>2</v>
          </cell>
          <cell r="F442">
            <v>124</v>
          </cell>
          <cell r="G442">
            <v>126</v>
          </cell>
        </row>
        <row r="443">
          <cell r="A443">
            <v>442</v>
          </cell>
          <cell r="B443">
            <v>0.2273</v>
          </cell>
          <cell r="C443">
            <v>0.6</v>
          </cell>
          <cell r="D443">
            <v>0.25369999999999998</v>
          </cell>
          <cell r="E443">
            <v>3</v>
          </cell>
          <cell r="F443">
            <v>54</v>
          </cell>
          <cell r="G443">
            <v>57</v>
          </cell>
        </row>
        <row r="444">
          <cell r="A444">
            <v>443</v>
          </cell>
          <cell r="B444">
            <v>0.21210000000000001</v>
          </cell>
          <cell r="C444">
            <v>0.65</v>
          </cell>
          <cell r="D444">
            <v>0.28360000000000002</v>
          </cell>
          <cell r="E444">
            <v>0</v>
          </cell>
          <cell r="F444">
            <v>56</v>
          </cell>
          <cell r="G444">
            <v>56</v>
          </cell>
        </row>
        <row r="445">
          <cell r="A445">
            <v>444</v>
          </cell>
          <cell r="B445">
            <v>0.21210000000000001</v>
          </cell>
          <cell r="C445">
            <v>0.65</v>
          </cell>
          <cell r="D445">
            <v>0.32840000000000003</v>
          </cell>
          <cell r="E445">
            <v>3</v>
          </cell>
          <cell r="F445">
            <v>28</v>
          </cell>
          <cell r="G445">
            <v>31</v>
          </cell>
        </row>
        <row r="446">
          <cell r="A446">
            <v>445</v>
          </cell>
          <cell r="B446">
            <v>0.2273</v>
          </cell>
          <cell r="C446">
            <v>0.7</v>
          </cell>
          <cell r="D446">
            <v>0.25369999999999998</v>
          </cell>
          <cell r="E446">
            <v>1</v>
          </cell>
          <cell r="F446">
            <v>20</v>
          </cell>
          <cell r="G446">
            <v>21</v>
          </cell>
        </row>
        <row r="447">
          <cell r="A447">
            <v>446</v>
          </cell>
          <cell r="B447">
            <v>0.2273</v>
          </cell>
          <cell r="C447">
            <v>0.7</v>
          </cell>
          <cell r="D447">
            <v>0.25369999999999998</v>
          </cell>
          <cell r="E447">
            <v>0</v>
          </cell>
          <cell r="F447">
            <v>6</v>
          </cell>
          <cell r="G447">
            <v>6</v>
          </cell>
        </row>
        <row r="448">
          <cell r="A448">
            <v>447</v>
          </cell>
          <cell r="B448">
            <v>0.2424</v>
          </cell>
          <cell r="C448">
            <v>0.75</v>
          </cell>
          <cell r="D448">
            <v>0.16420000000000001</v>
          </cell>
          <cell r="E448">
            <v>0</v>
          </cell>
          <cell r="F448">
            <v>2</v>
          </cell>
          <cell r="G448">
            <v>2</v>
          </cell>
        </row>
        <row r="449">
          <cell r="A449">
            <v>448</v>
          </cell>
          <cell r="B449">
            <v>0.21210000000000001</v>
          </cell>
          <cell r="C449">
            <v>0.8</v>
          </cell>
          <cell r="D449">
            <v>0.29849999999999999</v>
          </cell>
          <cell r="E449">
            <v>0</v>
          </cell>
          <cell r="F449">
            <v>1</v>
          </cell>
          <cell r="G449">
            <v>1</v>
          </cell>
        </row>
        <row r="450">
          <cell r="A450">
            <v>449</v>
          </cell>
          <cell r="B450">
            <v>0.2576</v>
          </cell>
          <cell r="C450">
            <v>0.87</v>
          </cell>
          <cell r="D450">
            <v>8.9599999999999999E-2</v>
          </cell>
          <cell r="E450">
            <v>0</v>
          </cell>
          <cell r="F450">
            <v>1</v>
          </cell>
          <cell r="G450">
            <v>1</v>
          </cell>
        </row>
        <row r="451">
          <cell r="A451">
            <v>450</v>
          </cell>
          <cell r="B451">
            <v>0.19700000000000001</v>
          </cell>
          <cell r="C451">
            <v>0.6</v>
          </cell>
          <cell r="D451">
            <v>0.41789999999999999</v>
          </cell>
          <cell r="E451">
            <v>1</v>
          </cell>
          <cell r="F451">
            <v>4</v>
          </cell>
          <cell r="G451">
            <v>5</v>
          </cell>
        </row>
        <row r="452">
          <cell r="A452">
            <v>451</v>
          </cell>
          <cell r="B452">
            <v>0.21210000000000001</v>
          </cell>
          <cell r="C452">
            <v>0.55000000000000004</v>
          </cell>
          <cell r="D452">
            <v>0.25369999999999998</v>
          </cell>
          <cell r="E452">
            <v>0</v>
          </cell>
          <cell r="F452">
            <v>27</v>
          </cell>
          <cell r="G452">
            <v>27</v>
          </cell>
        </row>
        <row r="453">
          <cell r="A453">
            <v>452</v>
          </cell>
          <cell r="B453">
            <v>0.18179999999999999</v>
          </cell>
          <cell r="C453">
            <v>0.51</v>
          </cell>
          <cell r="D453">
            <v>0.28360000000000002</v>
          </cell>
          <cell r="E453">
            <v>2</v>
          </cell>
          <cell r="F453">
            <v>66</v>
          </cell>
          <cell r="G453">
            <v>68</v>
          </cell>
        </row>
        <row r="454">
          <cell r="A454">
            <v>453</v>
          </cell>
          <cell r="B454">
            <v>0.18179999999999999</v>
          </cell>
          <cell r="C454">
            <v>0.47</v>
          </cell>
          <cell r="D454">
            <v>0.32840000000000003</v>
          </cell>
          <cell r="E454">
            <v>7</v>
          </cell>
          <cell r="F454">
            <v>210</v>
          </cell>
          <cell r="G454">
            <v>217</v>
          </cell>
        </row>
        <row r="455">
          <cell r="A455">
            <v>454</v>
          </cell>
          <cell r="B455">
            <v>0.18179999999999999</v>
          </cell>
          <cell r="C455">
            <v>0.51</v>
          </cell>
          <cell r="D455">
            <v>0.35820000000000002</v>
          </cell>
          <cell r="E455">
            <v>7</v>
          </cell>
          <cell r="F455">
            <v>159</v>
          </cell>
          <cell r="G455">
            <v>166</v>
          </cell>
        </row>
        <row r="456">
          <cell r="A456">
            <v>455</v>
          </cell>
          <cell r="B456">
            <v>0.16669999999999999</v>
          </cell>
          <cell r="C456">
            <v>0.47</v>
          </cell>
          <cell r="D456">
            <v>0.4627</v>
          </cell>
          <cell r="E456">
            <v>6</v>
          </cell>
          <cell r="F456">
            <v>57</v>
          </cell>
          <cell r="G456">
            <v>63</v>
          </cell>
        </row>
        <row r="457">
          <cell r="A457">
            <v>456</v>
          </cell>
          <cell r="B457">
            <v>0.18179999999999999</v>
          </cell>
          <cell r="C457">
            <v>0.41</v>
          </cell>
          <cell r="D457">
            <v>0.4627</v>
          </cell>
          <cell r="E457">
            <v>6</v>
          </cell>
          <cell r="F457">
            <v>53</v>
          </cell>
          <cell r="G457">
            <v>59</v>
          </cell>
        </row>
        <row r="458">
          <cell r="A458">
            <v>457</v>
          </cell>
          <cell r="B458">
            <v>0.18179999999999999</v>
          </cell>
          <cell r="C458">
            <v>0.27</v>
          </cell>
          <cell r="D458">
            <v>0.58209999999999995</v>
          </cell>
          <cell r="E458">
            <v>11</v>
          </cell>
          <cell r="F458">
            <v>67</v>
          </cell>
          <cell r="G458">
            <v>78</v>
          </cell>
        </row>
        <row r="459">
          <cell r="A459">
            <v>458</v>
          </cell>
          <cell r="B459">
            <v>0.1515</v>
          </cell>
          <cell r="C459">
            <v>0.21</v>
          </cell>
          <cell r="D459">
            <v>0.58209999999999995</v>
          </cell>
          <cell r="E459">
            <v>8</v>
          </cell>
          <cell r="F459">
            <v>65</v>
          </cell>
          <cell r="G459">
            <v>73</v>
          </cell>
        </row>
        <row r="460">
          <cell r="A460">
            <v>459</v>
          </cell>
          <cell r="B460">
            <v>0.1515</v>
          </cell>
          <cell r="C460">
            <v>0.25</v>
          </cell>
          <cell r="D460">
            <v>0.52239999999999998</v>
          </cell>
          <cell r="E460">
            <v>6</v>
          </cell>
          <cell r="F460">
            <v>56</v>
          </cell>
          <cell r="G460">
            <v>62</v>
          </cell>
        </row>
        <row r="461">
          <cell r="A461">
            <v>460</v>
          </cell>
          <cell r="B461">
            <v>0.1212</v>
          </cell>
          <cell r="C461">
            <v>0.26</v>
          </cell>
          <cell r="D461">
            <v>0.44779999999999998</v>
          </cell>
          <cell r="E461">
            <v>4</v>
          </cell>
          <cell r="F461">
            <v>61</v>
          </cell>
          <cell r="G461">
            <v>65</v>
          </cell>
        </row>
        <row r="462">
          <cell r="A462">
            <v>461</v>
          </cell>
          <cell r="B462">
            <v>0.13639999999999999</v>
          </cell>
          <cell r="C462">
            <v>0.26</v>
          </cell>
          <cell r="D462">
            <v>0.35820000000000002</v>
          </cell>
          <cell r="E462">
            <v>0</v>
          </cell>
          <cell r="F462">
            <v>97</v>
          </cell>
          <cell r="G462">
            <v>97</v>
          </cell>
        </row>
        <row r="463">
          <cell r="A463">
            <v>462</v>
          </cell>
          <cell r="B463">
            <v>0.1212</v>
          </cell>
          <cell r="C463">
            <v>0.28000000000000003</v>
          </cell>
          <cell r="D463">
            <v>0.35820000000000002</v>
          </cell>
          <cell r="E463">
            <v>10</v>
          </cell>
          <cell r="F463">
            <v>151</v>
          </cell>
          <cell r="G463">
            <v>161</v>
          </cell>
        </row>
        <row r="464">
          <cell r="A464">
            <v>463</v>
          </cell>
          <cell r="B464">
            <v>0.1212</v>
          </cell>
          <cell r="C464">
            <v>0.3</v>
          </cell>
          <cell r="D464">
            <v>0.25369999999999998</v>
          </cell>
          <cell r="E464">
            <v>1</v>
          </cell>
          <cell r="F464">
            <v>119</v>
          </cell>
          <cell r="G464">
            <v>120</v>
          </cell>
        </row>
        <row r="465">
          <cell r="A465">
            <v>464</v>
          </cell>
          <cell r="B465">
            <v>0.1061</v>
          </cell>
          <cell r="C465">
            <v>0.3</v>
          </cell>
          <cell r="D465">
            <v>0.32840000000000003</v>
          </cell>
          <cell r="E465">
            <v>3</v>
          </cell>
          <cell r="F465">
            <v>93</v>
          </cell>
          <cell r="G465">
            <v>96</v>
          </cell>
        </row>
        <row r="466">
          <cell r="A466">
            <v>465</v>
          </cell>
          <cell r="B466">
            <v>7.5800000000000006E-2</v>
          </cell>
          <cell r="C466">
            <v>0.33</v>
          </cell>
          <cell r="D466">
            <v>0.41789999999999999</v>
          </cell>
          <cell r="E466">
            <v>1</v>
          </cell>
          <cell r="F466">
            <v>52</v>
          </cell>
          <cell r="G466">
            <v>53</v>
          </cell>
        </row>
        <row r="467">
          <cell r="A467">
            <v>466</v>
          </cell>
          <cell r="B467">
            <v>7.5800000000000006E-2</v>
          </cell>
          <cell r="C467">
            <v>0.38</v>
          </cell>
          <cell r="D467">
            <v>0.28360000000000002</v>
          </cell>
          <cell r="E467">
            <v>0</v>
          </cell>
          <cell r="F467">
            <v>41</v>
          </cell>
          <cell r="G467">
            <v>41</v>
          </cell>
        </row>
        <row r="468">
          <cell r="A468">
            <v>467</v>
          </cell>
          <cell r="B468">
            <v>3.0300000000000001E-2</v>
          </cell>
          <cell r="C468">
            <v>0.41</v>
          </cell>
          <cell r="D468">
            <v>0.3881</v>
          </cell>
          <cell r="E468">
            <v>1</v>
          </cell>
          <cell r="F468">
            <v>33</v>
          </cell>
          <cell r="G468">
            <v>34</v>
          </cell>
        </row>
        <row r="469">
          <cell r="A469">
            <v>468</v>
          </cell>
          <cell r="B469">
            <v>4.5499999999999999E-2</v>
          </cell>
          <cell r="C469">
            <v>0.38</v>
          </cell>
          <cell r="D469">
            <v>0.32840000000000003</v>
          </cell>
          <cell r="E469">
            <v>0</v>
          </cell>
          <cell r="F469">
            <v>27</v>
          </cell>
          <cell r="G469">
            <v>27</v>
          </cell>
        </row>
        <row r="470">
          <cell r="A470">
            <v>469</v>
          </cell>
          <cell r="B470">
            <v>3.0300000000000001E-2</v>
          </cell>
          <cell r="C470">
            <v>0.45</v>
          </cell>
          <cell r="D470">
            <v>0.25369999999999998</v>
          </cell>
          <cell r="E470">
            <v>0</v>
          </cell>
          <cell r="F470">
            <v>13</v>
          </cell>
          <cell r="G470">
            <v>13</v>
          </cell>
        </row>
        <row r="471">
          <cell r="A471">
            <v>470</v>
          </cell>
          <cell r="B471">
            <v>0</v>
          </cell>
          <cell r="C471">
            <v>0.41</v>
          </cell>
          <cell r="D471">
            <v>0.3881</v>
          </cell>
          <cell r="E471">
            <v>3</v>
          </cell>
          <cell r="F471">
            <v>9</v>
          </cell>
          <cell r="G471">
            <v>12</v>
          </cell>
        </row>
        <row r="472">
          <cell r="A472">
            <v>471</v>
          </cell>
          <cell r="B472">
            <v>3.0300000000000001E-2</v>
          </cell>
          <cell r="C472">
            <v>0.41</v>
          </cell>
          <cell r="D472">
            <v>0.25369999999999998</v>
          </cell>
          <cell r="E472">
            <v>0</v>
          </cell>
          <cell r="F472">
            <v>11</v>
          </cell>
          <cell r="G472">
            <v>11</v>
          </cell>
        </row>
        <row r="473">
          <cell r="A473">
            <v>472</v>
          </cell>
          <cell r="B473">
            <v>3.0300000000000001E-2</v>
          </cell>
          <cell r="C473">
            <v>0.41</v>
          </cell>
          <cell r="D473">
            <v>0.28360000000000002</v>
          </cell>
          <cell r="E473">
            <v>1</v>
          </cell>
          <cell r="F473">
            <v>6</v>
          </cell>
          <cell r="G473">
            <v>7</v>
          </cell>
        </row>
        <row r="474">
          <cell r="A474">
            <v>473</v>
          </cell>
          <cell r="B474">
            <v>1.52E-2</v>
          </cell>
          <cell r="C474">
            <v>0.48</v>
          </cell>
          <cell r="D474">
            <v>0.29849999999999999</v>
          </cell>
          <cell r="E474">
            <v>0</v>
          </cell>
          <cell r="F474">
            <v>3</v>
          </cell>
          <cell r="G474">
            <v>3</v>
          </cell>
        </row>
        <row r="475">
          <cell r="A475">
            <v>474</v>
          </cell>
          <cell r="B475">
            <v>3.0300000000000001E-2</v>
          </cell>
          <cell r="C475">
            <v>0.44</v>
          </cell>
          <cell r="D475">
            <v>0.22389999999999999</v>
          </cell>
          <cell r="E475">
            <v>0</v>
          </cell>
          <cell r="F475">
            <v>2</v>
          </cell>
          <cell r="G475">
            <v>2</v>
          </cell>
        </row>
        <row r="476">
          <cell r="A476">
            <v>475</v>
          </cell>
          <cell r="B476">
            <v>1.52E-2</v>
          </cell>
          <cell r="C476">
            <v>0.44</v>
          </cell>
          <cell r="D476">
            <v>0.28360000000000002</v>
          </cell>
          <cell r="E476">
            <v>0</v>
          </cell>
          <cell r="F476">
            <v>8</v>
          </cell>
          <cell r="G476">
            <v>8</v>
          </cell>
        </row>
        <row r="477">
          <cell r="A477">
            <v>476</v>
          </cell>
          <cell r="B477">
            <v>0</v>
          </cell>
          <cell r="C477">
            <v>0.44</v>
          </cell>
          <cell r="D477">
            <v>0.32840000000000003</v>
          </cell>
          <cell r="E477">
            <v>1</v>
          </cell>
          <cell r="F477">
            <v>26</v>
          </cell>
          <cell r="G477">
            <v>27</v>
          </cell>
        </row>
        <row r="478">
          <cell r="A478">
            <v>477</v>
          </cell>
          <cell r="B478">
            <v>3.0300000000000001E-2</v>
          </cell>
          <cell r="C478">
            <v>0.41</v>
          </cell>
          <cell r="D478">
            <v>0.25369999999999998</v>
          </cell>
          <cell r="E478">
            <v>3</v>
          </cell>
          <cell r="F478">
            <v>37</v>
          </cell>
          <cell r="G478">
            <v>40</v>
          </cell>
        </row>
        <row r="479">
          <cell r="A479">
            <v>478</v>
          </cell>
          <cell r="B479">
            <v>6.0600000000000001E-2</v>
          </cell>
          <cell r="C479">
            <v>0.41</v>
          </cell>
          <cell r="D479">
            <v>0.16420000000000001</v>
          </cell>
          <cell r="E479">
            <v>3</v>
          </cell>
          <cell r="F479">
            <v>50</v>
          </cell>
          <cell r="G479">
            <v>53</v>
          </cell>
        </row>
        <row r="480">
          <cell r="A480">
            <v>479</v>
          </cell>
          <cell r="B480">
            <v>7.5800000000000006E-2</v>
          </cell>
          <cell r="C480">
            <v>0.38</v>
          </cell>
          <cell r="D480">
            <v>0.1343</v>
          </cell>
          <cell r="E480">
            <v>4</v>
          </cell>
          <cell r="F480">
            <v>59</v>
          </cell>
          <cell r="G480">
            <v>63</v>
          </cell>
        </row>
        <row r="481">
          <cell r="A481">
            <v>480</v>
          </cell>
          <cell r="B481">
            <v>0.1061</v>
          </cell>
          <cell r="C481">
            <v>0.38</v>
          </cell>
          <cell r="D481">
            <v>0.1045</v>
          </cell>
          <cell r="E481">
            <v>10</v>
          </cell>
          <cell r="F481">
            <v>60</v>
          </cell>
          <cell r="G481">
            <v>70</v>
          </cell>
        </row>
        <row r="482">
          <cell r="A482">
            <v>481</v>
          </cell>
          <cell r="B482">
            <v>0.16669999999999999</v>
          </cell>
          <cell r="C482">
            <v>0.35</v>
          </cell>
          <cell r="D482">
            <v>0</v>
          </cell>
          <cell r="E482">
            <v>12</v>
          </cell>
          <cell r="F482">
            <v>72</v>
          </cell>
          <cell r="G482">
            <v>84</v>
          </cell>
        </row>
        <row r="483">
          <cell r="A483">
            <v>482</v>
          </cell>
          <cell r="B483">
            <v>0.13639999999999999</v>
          </cell>
          <cell r="C483">
            <v>0.33</v>
          </cell>
          <cell r="D483">
            <v>0.1045</v>
          </cell>
          <cell r="E483">
            <v>11</v>
          </cell>
          <cell r="F483">
            <v>64</v>
          </cell>
          <cell r="G483">
            <v>75</v>
          </cell>
        </row>
        <row r="484">
          <cell r="A484">
            <v>483</v>
          </cell>
          <cell r="B484">
            <v>0.1515</v>
          </cell>
          <cell r="C484">
            <v>0.28000000000000003</v>
          </cell>
          <cell r="D484">
            <v>0</v>
          </cell>
          <cell r="E484">
            <v>10</v>
          </cell>
          <cell r="F484">
            <v>93</v>
          </cell>
          <cell r="G484">
            <v>103</v>
          </cell>
        </row>
        <row r="485">
          <cell r="A485">
            <v>484</v>
          </cell>
          <cell r="B485">
            <v>0.13639999999999999</v>
          </cell>
          <cell r="C485">
            <v>0.28000000000000003</v>
          </cell>
          <cell r="D485">
            <v>0.19400000000000001</v>
          </cell>
          <cell r="E485">
            <v>11</v>
          </cell>
          <cell r="F485">
            <v>72</v>
          </cell>
          <cell r="G485">
            <v>83</v>
          </cell>
        </row>
        <row r="486">
          <cell r="A486">
            <v>485</v>
          </cell>
          <cell r="B486">
            <v>0.19700000000000001</v>
          </cell>
          <cell r="C486">
            <v>0.28000000000000003</v>
          </cell>
          <cell r="D486">
            <v>0</v>
          </cell>
          <cell r="E486">
            <v>8</v>
          </cell>
          <cell r="F486">
            <v>59</v>
          </cell>
          <cell r="G486">
            <v>67</v>
          </cell>
        </row>
        <row r="487">
          <cell r="A487">
            <v>486</v>
          </cell>
          <cell r="B487">
            <v>9.0899999999999995E-2</v>
          </cell>
          <cell r="C487">
            <v>0.35</v>
          </cell>
          <cell r="D487">
            <v>0.19400000000000001</v>
          </cell>
          <cell r="E487">
            <v>0</v>
          </cell>
          <cell r="F487">
            <v>54</v>
          </cell>
          <cell r="G487">
            <v>54</v>
          </cell>
        </row>
        <row r="488">
          <cell r="A488">
            <v>487</v>
          </cell>
          <cell r="B488">
            <v>0.1061</v>
          </cell>
          <cell r="C488">
            <v>0.35</v>
          </cell>
          <cell r="D488">
            <v>0.1343</v>
          </cell>
          <cell r="E488">
            <v>6</v>
          </cell>
          <cell r="F488">
            <v>53</v>
          </cell>
          <cell r="G488">
            <v>59</v>
          </cell>
        </row>
        <row r="489">
          <cell r="A489">
            <v>488</v>
          </cell>
          <cell r="B489">
            <v>7.5800000000000006E-2</v>
          </cell>
          <cell r="C489">
            <v>0.45</v>
          </cell>
          <cell r="D489">
            <v>0.16420000000000001</v>
          </cell>
          <cell r="E489">
            <v>1</v>
          </cell>
          <cell r="F489">
            <v>44</v>
          </cell>
          <cell r="G489">
            <v>45</v>
          </cell>
        </row>
        <row r="490">
          <cell r="A490">
            <v>489</v>
          </cell>
          <cell r="B490">
            <v>0.1061</v>
          </cell>
          <cell r="C490">
            <v>0.41</v>
          </cell>
          <cell r="D490">
            <v>8.9599999999999999E-2</v>
          </cell>
          <cell r="E490">
            <v>0</v>
          </cell>
          <cell r="F490">
            <v>39</v>
          </cell>
          <cell r="G490">
            <v>39</v>
          </cell>
        </row>
        <row r="491">
          <cell r="A491">
            <v>490</v>
          </cell>
          <cell r="B491">
            <v>0.1515</v>
          </cell>
          <cell r="C491">
            <v>0.49</v>
          </cell>
          <cell r="D491">
            <v>0</v>
          </cell>
          <cell r="E491">
            <v>7</v>
          </cell>
          <cell r="F491">
            <v>23</v>
          </cell>
          <cell r="G491">
            <v>30</v>
          </cell>
        </row>
        <row r="492">
          <cell r="A492">
            <v>491</v>
          </cell>
          <cell r="B492">
            <v>7.5800000000000006E-2</v>
          </cell>
          <cell r="C492">
            <v>0.56999999999999995</v>
          </cell>
          <cell r="D492">
            <v>0.1045</v>
          </cell>
          <cell r="E492">
            <v>2</v>
          </cell>
          <cell r="F492">
            <v>31</v>
          </cell>
          <cell r="G492">
            <v>33</v>
          </cell>
        </row>
        <row r="493">
          <cell r="A493">
            <v>492</v>
          </cell>
          <cell r="B493">
            <v>7.5800000000000006E-2</v>
          </cell>
          <cell r="C493">
            <v>0.56999999999999995</v>
          </cell>
          <cell r="D493">
            <v>0.1045</v>
          </cell>
          <cell r="E493">
            <v>2</v>
          </cell>
          <cell r="F493">
            <v>20</v>
          </cell>
          <cell r="G493">
            <v>22</v>
          </cell>
        </row>
        <row r="494">
          <cell r="A494">
            <v>493</v>
          </cell>
          <cell r="B494">
            <v>7.5800000000000006E-2</v>
          </cell>
          <cell r="C494">
            <v>0.56999999999999995</v>
          </cell>
          <cell r="D494">
            <v>0.1045</v>
          </cell>
          <cell r="E494">
            <v>1</v>
          </cell>
          <cell r="F494">
            <v>12</v>
          </cell>
          <cell r="G494">
            <v>13</v>
          </cell>
        </row>
        <row r="495">
          <cell r="A495">
            <v>494</v>
          </cell>
          <cell r="B495">
            <v>6.0600000000000001E-2</v>
          </cell>
          <cell r="C495">
            <v>0.62</v>
          </cell>
          <cell r="D495">
            <v>0.1343</v>
          </cell>
          <cell r="E495">
            <v>3</v>
          </cell>
          <cell r="F495">
            <v>15</v>
          </cell>
          <cell r="G495">
            <v>18</v>
          </cell>
        </row>
        <row r="496">
          <cell r="A496">
            <v>495</v>
          </cell>
          <cell r="B496">
            <v>6.0600000000000001E-2</v>
          </cell>
          <cell r="C496">
            <v>0.62</v>
          </cell>
          <cell r="D496">
            <v>0.1343</v>
          </cell>
          <cell r="E496">
            <v>1</v>
          </cell>
          <cell r="F496">
            <v>4</v>
          </cell>
          <cell r="G496">
            <v>5</v>
          </cell>
        </row>
        <row r="497">
          <cell r="A497">
            <v>496</v>
          </cell>
          <cell r="B497">
            <v>7.5800000000000006E-2</v>
          </cell>
          <cell r="C497">
            <v>0.56999999999999995</v>
          </cell>
          <cell r="D497">
            <v>0.1045</v>
          </cell>
          <cell r="E497">
            <v>0</v>
          </cell>
          <cell r="F497">
            <v>3</v>
          </cell>
          <cell r="G497">
            <v>3</v>
          </cell>
        </row>
        <row r="498">
          <cell r="A498">
            <v>497</v>
          </cell>
          <cell r="B498">
            <v>7.5800000000000006E-2</v>
          </cell>
          <cell r="C498">
            <v>0.56999999999999995</v>
          </cell>
          <cell r="D498">
            <v>0.1045</v>
          </cell>
          <cell r="E498">
            <v>0</v>
          </cell>
          <cell r="F498">
            <v>1</v>
          </cell>
          <cell r="G498">
            <v>1</v>
          </cell>
        </row>
        <row r="499">
          <cell r="A499">
            <v>498</v>
          </cell>
          <cell r="B499">
            <v>0.1061</v>
          </cell>
          <cell r="C499">
            <v>0.57999999999999996</v>
          </cell>
          <cell r="D499">
            <v>0.16420000000000001</v>
          </cell>
          <cell r="E499">
            <v>1</v>
          </cell>
          <cell r="F499">
            <v>1</v>
          </cell>
          <cell r="G499">
            <v>2</v>
          </cell>
        </row>
        <row r="500">
          <cell r="A500">
            <v>499</v>
          </cell>
          <cell r="B500">
            <v>7.5800000000000006E-2</v>
          </cell>
          <cell r="C500">
            <v>0.62</v>
          </cell>
          <cell r="D500">
            <v>0.16420000000000001</v>
          </cell>
          <cell r="E500">
            <v>2</v>
          </cell>
          <cell r="F500">
            <v>17</v>
          </cell>
          <cell r="G500">
            <v>19</v>
          </cell>
        </row>
        <row r="501">
          <cell r="A501">
            <v>500</v>
          </cell>
          <cell r="B501">
            <v>7.5800000000000006E-2</v>
          </cell>
          <cell r="C501">
            <v>0.54</v>
          </cell>
          <cell r="D501">
            <v>0.35820000000000002</v>
          </cell>
          <cell r="E501">
            <v>3</v>
          </cell>
          <cell r="F501">
            <v>25</v>
          </cell>
          <cell r="G501">
            <v>28</v>
          </cell>
        </row>
        <row r="502">
          <cell r="A502">
            <v>501</v>
          </cell>
          <cell r="B502">
            <v>0.1061</v>
          </cell>
          <cell r="C502">
            <v>0.46</v>
          </cell>
          <cell r="D502">
            <v>0.3881</v>
          </cell>
          <cell r="E502">
            <v>7</v>
          </cell>
          <cell r="F502">
            <v>51</v>
          </cell>
          <cell r="G502">
            <v>58</v>
          </cell>
        </row>
        <row r="503">
          <cell r="A503">
            <v>502</v>
          </cell>
          <cell r="B503">
            <v>0.13639999999999999</v>
          </cell>
          <cell r="C503">
            <v>0.43</v>
          </cell>
          <cell r="D503">
            <v>0.22389999999999999</v>
          </cell>
          <cell r="E503">
            <v>22</v>
          </cell>
          <cell r="F503">
            <v>77</v>
          </cell>
          <cell r="G503">
            <v>99</v>
          </cell>
        </row>
        <row r="504">
          <cell r="A504">
            <v>503</v>
          </cell>
          <cell r="B504">
            <v>0.1212</v>
          </cell>
          <cell r="C504">
            <v>0.37</v>
          </cell>
          <cell r="D504">
            <v>0.4627</v>
          </cell>
          <cell r="E504">
            <v>24</v>
          </cell>
          <cell r="F504">
            <v>92</v>
          </cell>
          <cell r="G504">
            <v>116</v>
          </cell>
        </row>
        <row r="505">
          <cell r="A505">
            <v>504</v>
          </cell>
          <cell r="B505">
            <v>0.1061</v>
          </cell>
          <cell r="C505">
            <v>0.33</v>
          </cell>
          <cell r="D505">
            <v>0.3881</v>
          </cell>
          <cell r="E505">
            <v>12</v>
          </cell>
          <cell r="F505">
            <v>75</v>
          </cell>
          <cell r="G505">
            <v>87</v>
          </cell>
        </row>
        <row r="506">
          <cell r="A506">
            <v>505</v>
          </cell>
          <cell r="B506">
            <v>0.13639999999999999</v>
          </cell>
          <cell r="C506">
            <v>0.28000000000000003</v>
          </cell>
          <cell r="D506">
            <v>0.35820000000000002</v>
          </cell>
          <cell r="E506">
            <v>17</v>
          </cell>
          <cell r="F506">
            <v>93</v>
          </cell>
          <cell r="G506">
            <v>110</v>
          </cell>
        </row>
        <row r="507">
          <cell r="A507">
            <v>506</v>
          </cell>
          <cell r="B507">
            <v>0.13639999999999999</v>
          </cell>
          <cell r="C507">
            <v>0.28000000000000003</v>
          </cell>
          <cell r="D507">
            <v>0.35820000000000002</v>
          </cell>
          <cell r="E507">
            <v>13</v>
          </cell>
          <cell r="F507">
            <v>64</v>
          </cell>
          <cell r="G507">
            <v>77</v>
          </cell>
        </row>
        <row r="508">
          <cell r="A508">
            <v>507</v>
          </cell>
          <cell r="B508">
            <v>0.13639999999999999</v>
          </cell>
          <cell r="C508">
            <v>0.26</v>
          </cell>
          <cell r="D508">
            <v>0.32840000000000003</v>
          </cell>
          <cell r="E508">
            <v>9</v>
          </cell>
          <cell r="F508">
            <v>56</v>
          </cell>
          <cell r="G508">
            <v>65</v>
          </cell>
        </row>
        <row r="509">
          <cell r="A509">
            <v>508</v>
          </cell>
          <cell r="B509">
            <v>0.1061</v>
          </cell>
          <cell r="C509">
            <v>0.26</v>
          </cell>
          <cell r="D509">
            <v>0.3881</v>
          </cell>
          <cell r="E509">
            <v>5</v>
          </cell>
          <cell r="F509">
            <v>50</v>
          </cell>
          <cell r="G509">
            <v>55</v>
          </cell>
        </row>
        <row r="510">
          <cell r="A510">
            <v>509</v>
          </cell>
          <cell r="B510">
            <v>0.1212</v>
          </cell>
          <cell r="C510">
            <v>0.3</v>
          </cell>
          <cell r="D510">
            <v>0.25369999999999998</v>
          </cell>
          <cell r="E510">
            <v>5</v>
          </cell>
          <cell r="F510">
            <v>44</v>
          </cell>
          <cell r="G510">
            <v>49</v>
          </cell>
        </row>
        <row r="511">
          <cell r="A511">
            <v>510</v>
          </cell>
          <cell r="B511">
            <v>0.1212</v>
          </cell>
          <cell r="C511">
            <v>0.3</v>
          </cell>
          <cell r="D511">
            <v>0.28360000000000002</v>
          </cell>
          <cell r="E511">
            <v>5</v>
          </cell>
          <cell r="F511">
            <v>45</v>
          </cell>
          <cell r="G511">
            <v>50</v>
          </cell>
        </row>
        <row r="512">
          <cell r="A512">
            <v>511</v>
          </cell>
          <cell r="B512">
            <v>0.1061</v>
          </cell>
          <cell r="C512">
            <v>0.36</v>
          </cell>
          <cell r="D512">
            <v>0.25369999999999998</v>
          </cell>
          <cell r="E512">
            <v>4</v>
          </cell>
          <cell r="F512">
            <v>31</v>
          </cell>
          <cell r="G512">
            <v>35</v>
          </cell>
        </row>
        <row r="513">
          <cell r="A513">
            <v>512</v>
          </cell>
          <cell r="B513">
            <v>0.1061</v>
          </cell>
          <cell r="C513">
            <v>0.36</v>
          </cell>
          <cell r="D513">
            <v>0.19400000000000001</v>
          </cell>
          <cell r="E513">
            <v>5</v>
          </cell>
          <cell r="F513">
            <v>20</v>
          </cell>
          <cell r="G513">
            <v>25</v>
          </cell>
        </row>
        <row r="514">
          <cell r="A514">
            <v>513</v>
          </cell>
          <cell r="B514">
            <v>9.0899999999999995E-2</v>
          </cell>
          <cell r="C514">
            <v>0.38</v>
          </cell>
          <cell r="D514">
            <v>0.19400000000000001</v>
          </cell>
          <cell r="E514">
            <v>5</v>
          </cell>
          <cell r="F514">
            <v>23</v>
          </cell>
          <cell r="G514">
            <v>28</v>
          </cell>
        </row>
        <row r="515">
          <cell r="A515">
            <v>514</v>
          </cell>
          <cell r="B515">
            <v>6.0600000000000001E-2</v>
          </cell>
          <cell r="C515">
            <v>0.41</v>
          </cell>
          <cell r="D515">
            <v>0.22389999999999999</v>
          </cell>
          <cell r="E515">
            <v>4</v>
          </cell>
          <cell r="F515">
            <v>17</v>
          </cell>
          <cell r="G515">
            <v>21</v>
          </cell>
        </row>
        <row r="516">
          <cell r="A516">
            <v>515</v>
          </cell>
          <cell r="B516">
            <v>6.0600000000000001E-2</v>
          </cell>
          <cell r="C516">
            <v>0.41</v>
          </cell>
          <cell r="D516">
            <v>0.19400000000000001</v>
          </cell>
          <cell r="E516">
            <v>0</v>
          </cell>
          <cell r="F516">
            <v>7</v>
          </cell>
          <cell r="G516">
            <v>7</v>
          </cell>
        </row>
        <row r="517">
          <cell r="A517">
            <v>516</v>
          </cell>
          <cell r="B517">
            <v>4.5499999999999999E-2</v>
          </cell>
          <cell r="C517">
            <v>0.45</v>
          </cell>
          <cell r="D517">
            <v>0.19400000000000001</v>
          </cell>
          <cell r="E517">
            <v>0</v>
          </cell>
          <cell r="F517">
            <v>1</v>
          </cell>
          <cell r="G517">
            <v>1</v>
          </cell>
        </row>
        <row r="518">
          <cell r="A518">
            <v>517</v>
          </cell>
          <cell r="B518">
            <v>3.0300000000000001E-2</v>
          </cell>
          <cell r="C518">
            <v>0.45</v>
          </cell>
          <cell r="D518">
            <v>0.25369999999999998</v>
          </cell>
          <cell r="E518">
            <v>0</v>
          </cell>
          <cell r="F518">
            <v>1</v>
          </cell>
          <cell r="G518">
            <v>1</v>
          </cell>
        </row>
        <row r="519">
          <cell r="A519">
            <v>518</v>
          </cell>
          <cell r="B519">
            <v>6.0600000000000001E-2</v>
          </cell>
          <cell r="C519">
            <v>0.48</v>
          </cell>
          <cell r="D519">
            <v>0.1343</v>
          </cell>
          <cell r="E519">
            <v>0</v>
          </cell>
          <cell r="F519">
            <v>1</v>
          </cell>
          <cell r="G519">
            <v>1</v>
          </cell>
        </row>
        <row r="520">
          <cell r="A520">
            <v>519</v>
          </cell>
          <cell r="B520">
            <v>6.0600000000000001E-2</v>
          </cell>
          <cell r="C520">
            <v>0.48</v>
          </cell>
          <cell r="D520">
            <v>0.1343</v>
          </cell>
          <cell r="E520">
            <v>0</v>
          </cell>
          <cell r="F520">
            <v>5</v>
          </cell>
          <cell r="G520">
            <v>5</v>
          </cell>
        </row>
        <row r="521">
          <cell r="A521">
            <v>520</v>
          </cell>
          <cell r="B521">
            <v>7.5800000000000006E-2</v>
          </cell>
          <cell r="C521">
            <v>0.48</v>
          </cell>
          <cell r="D521">
            <v>8.9599999999999999E-2</v>
          </cell>
          <cell r="E521">
            <v>0</v>
          </cell>
          <cell r="F521">
            <v>15</v>
          </cell>
          <cell r="G521">
            <v>15</v>
          </cell>
        </row>
        <row r="522">
          <cell r="A522">
            <v>521</v>
          </cell>
          <cell r="B522">
            <v>0.1212</v>
          </cell>
          <cell r="C522">
            <v>0.48</v>
          </cell>
          <cell r="D522">
            <v>0</v>
          </cell>
          <cell r="E522">
            <v>5</v>
          </cell>
          <cell r="F522">
            <v>79</v>
          </cell>
          <cell r="G522">
            <v>84</v>
          </cell>
        </row>
        <row r="523">
          <cell r="A523">
            <v>522</v>
          </cell>
          <cell r="B523">
            <v>0.13639999999999999</v>
          </cell>
          <cell r="C523">
            <v>0.49</v>
          </cell>
          <cell r="D523">
            <v>0</v>
          </cell>
          <cell r="E523">
            <v>6</v>
          </cell>
          <cell r="F523">
            <v>171</v>
          </cell>
          <cell r="G523">
            <v>177</v>
          </cell>
        </row>
        <row r="524">
          <cell r="A524">
            <v>523</v>
          </cell>
          <cell r="B524">
            <v>0.1515</v>
          </cell>
          <cell r="C524">
            <v>0.41</v>
          </cell>
          <cell r="D524">
            <v>0</v>
          </cell>
          <cell r="E524">
            <v>4</v>
          </cell>
          <cell r="F524">
            <v>98</v>
          </cell>
          <cell r="G524">
            <v>102</v>
          </cell>
        </row>
        <row r="525">
          <cell r="A525">
            <v>524</v>
          </cell>
          <cell r="B525">
            <v>0.13639999999999999</v>
          </cell>
          <cell r="C525">
            <v>0.42</v>
          </cell>
          <cell r="D525">
            <v>0</v>
          </cell>
          <cell r="E525">
            <v>6</v>
          </cell>
          <cell r="F525">
            <v>34</v>
          </cell>
          <cell r="G525">
            <v>40</v>
          </cell>
        </row>
        <row r="526">
          <cell r="A526">
            <v>525</v>
          </cell>
          <cell r="B526">
            <v>0.1212</v>
          </cell>
          <cell r="C526">
            <v>0.46</v>
          </cell>
          <cell r="D526">
            <v>0.1343</v>
          </cell>
          <cell r="E526">
            <v>3</v>
          </cell>
          <cell r="F526">
            <v>43</v>
          </cell>
          <cell r="G526">
            <v>46</v>
          </cell>
        </row>
        <row r="527">
          <cell r="A527">
            <v>526</v>
          </cell>
          <cell r="B527">
            <v>0.13639999999999999</v>
          </cell>
          <cell r="C527">
            <v>0.42</v>
          </cell>
          <cell r="D527">
            <v>0.19400000000000001</v>
          </cell>
          <cell r="E527">
            <v>11</v>
          </cell>
          <cell r="F527">
            <v>52</v>
          </cell>
          <cell r="G527">
            <v>63</v>
          </cell>
        </row>
        <row r="528">
          <cell r="A528">
            <v>527</v>
          </cell>
          <cell r="B528">
            <v>0.13639999999999999</v>
          </cell>
          <cell r="C528">
            <v>0.43</v>
          </cell>
          <cell r="D528">
            <v>0.22389999999999999</v>
          </cell>
          <cell r="E528">
            <v>6</v>
          </cell>
          <cell r="F528">
            <v>54</v>
          </cell>
          <cell r="G528">
            <v>60</v>
          </cell>
        </row>
        <row r="529">
          <cell r="A529">
            <v>528</v>
          </cell>
          <cell r="B529">
            <v>0.13639999999999999</v>
          </cell>
          <cell r="C529">
            <v>0.46</v>
          </cell>
          <cell r="D529">
            <v>0.22389999999999999</v>
          </cell>
          <cell r="E529">
            <v>2</v>
          </cell>
          <cell r="F529">
            <v>43</v>
          </cell>
          <cell r="G529">
            <v>45</v>
          </cell>
        </row>
        <row r="530">
          <cell r="A530">
            <v>529</v>
          </cell>
          <cell r="B530">
            <v>0.16669999999999999</v>
          </cell>
          <cell r="C530">
            <v>0.4</v>
          </cell>
          <cell r="D530">
            <v>0.16420000000000001</v>
          </cell>
          <cell r="E530">
            <v>7</v>
          </cell>
          <cell r="F530">
            <v>50</v>
          </cell>
          <cell r="G530">
            <v>57</v>
          </cell>
        </row>
        <row r="531">
          <cell r="A531">
            <v>530</v>
          </cell>
          <cell r="B531">
            <v>0.1515</v>
          </cell>
          <cell r="C531">
            <v>0.47</v>
          </cell>
          <cell r="D531">
            <v>0.25369999999999998</v>
          </cell>
          <cell r="E531">
            <v>4</v>
          </cell>
          <cell r="F531">
            <v>66</v>
          </cell>
          <cell r="G531">
            <v>70</v>
          </cell>
        </row>
        <row r="532">
          <cell r="A532">
            <v>531</v>
          </cell>
          <cell r="B532">
            <v>0.1212</v>
          </cell>
          <cell r="C532">
            <v>0.5</v>
          </cell>
          <cell r="D532">
            <v>0.25369999999999998</v>
          </cell>
          <cell r="E532">
            <v>6</v>
          </cell>
          <cell r="F532">
            <v>178</v>
          </cell>
          <cell r="G532">
            <v>184</v>
          </cell>
        </row>
        <row r="533">
          <cell r="A533">
            <v>532</v>
          </cell>
          <cell r="B533">
            <v>0.13639999999999999</v>
          </cell>
          <cell r="C533">
            <v>0.59</v>
          </cell>
          <cell r="D533">
            <v>0.19400000000000001</v>
          </cell>
          <cell r="E533">
            <v>8</v>
          </cell>
          <cell r="F533">
            <v>145</v>
          </cell>
          <cell r="G533">
            <v>153</v>
          </cell>
        </row>
        <row r="534">
          <cell r="A534">
            <v>533</v>
          </cell>
          <cell r="B534">
            <v>0.1515</v>
          </cell>
          <cell r="C534">
            <v>0.54</v>
          </cell>
          <cell r="D534">
            <v>0.16420000000000001</v>
          </cell>
          <cell r="E534">
            <v>5</v>
          </cell>
          <cell r="F534">
            <v>101</v>
          </cell>
          <cell r="G534">
            <v>106</v>
          </cell>
        </row>
        <row r="535">
          <cell r="A535">
            <v>534</v>
          </cell>
          <cell r="B535">
            <v>0.13639999999999999</v>
          </cell>
          <cell r="C535">
            <v>0.59</v>
          </cell>
          <cell r="D535">
            <v>0.19400000000000001</v>
          </cell>
          <cell r="E535">
            <v>1</v>
          </cell>
          <cell r="F535">
            <v>80</v>
          </cell>
          <cell r="G535">
            <v>81</v>
          </cell>
        </row>
        <row r="536">
          <cell r="A536">
            <v>535</v>
          </cell>
          <cell r="B536">
            <v>0.1515</v>
          </cell>
          <cell r="C536">
            <v>0.63</v>
          </cell>
          <cell r="D536">
            <v>0.16420000000000001</v>
          </cell>
          <cell r="E536">
            <v>6</v>
          </cell>
          <cell r="F536">
            <v>53</v>
          </cell>
          <cell r="G536">
            <v>59</v>
          </cell>
        </row>
        <row r="537">
          <cell r="A537">
            <v>536</v>
          </cell>
          <cell r="B537">
            <v>0.13639999999999999</v>
          </cell>
          <cell r="C537">
            <v>0.63</v>
          </cell>
          <cell r="D537">
            <v>0.22389999999999999</v>
          </cell>
          <cell r="E537">
            <v>3</v>
          </cell>
          <cell r="F537">
            <v>32</v>
          </cell>
          <cell r="G537">
            <v>35</v>
          </cell>
        </row>
        <row r="538">
          <cell r="A538">
            <v>537</v>
          </cell>
          <cell r="B538">
            <v>0.1515</v>
          </cell>
          <cell r="C538">
            <v>0.64</v>
          </cell>
          <cell r="D538">
            <v>0.25369999999999998</v>
          </cell>
          <cell r="E538">
            <v>3</v>
          </cell>
          <cell r="F538">
            <v>21</v>
          </cell>
          <cell r="G538">
            <v>24</v>
          </cell>
        </row>
        <row r="539">
          <cell r="A539">
            <v>538</v>
          </cell>
          <cell r="B539">
            <v>0.13639999999999999</v>
          </cell>
          <cell r="C539">
            <v>0.69</v>
          </cell>
          <cell r="D539">
            <v>0.28360000000000002</v>
          </cell>
          <cell r="E539">
            <v>3</v>
          </cell>
          <cell r="F539">
            <v>6</v>
          </cell>
          <cell r="G539">
            <v>9</v>
          </cell>
        </row>
        <row r="540">
          <cell r="A540">
            <v>539</v>
          </cell>
          <cell r="B540">
            <v>0.16669999999999999</v>
          </cell>
          <cell r="C540">
            <v>0.69</v>
          </cell>
          <cell r="D540">
            <v>0.16420000000000001</v>
          </cell>
          <cell r="E540">
            <v>0</v>
          </cell>
          <cell r="F540">
            <v>5</v>
          </cell>
          <cell r="G540">
            <v>5</v>
          </cell>
        </row>
        <row r="541">
          <cell r="A541">
            <v>540</v>
          </cell>
          <cell r="B541">
            <v>0.1515</v>
          </cell>
          <cell r="C541">
            <v>0.69</v>
          </cell>
          <cell r="D541">
            <v>0.22389999999999999</v>
          </cell>
          <cell r="E541">
            <v>0</v>
          </cell>
          <cell r="F541">
            <v>2</v>
          </cell>
          <cell r="G541">
            <v>2</v>
          </cell>
        </row>
        <row r="542">
          <cell r="A542">
            <v>541</v>
          </cell>
          <cell r="B542">
            <v>0.16669999999999999</v>
          </cell>
          <cell r="C542">
            <v>0.74</v>
          </cell>
          <cell r="D542">
            <v>0.1045</v>
          </cell>
          <cell r="E542">
            <v>0</v>
          </cell>
          <cell r="F542">
            <v>1</v>
          </cell>
          <cell r="G542">
            <v>1</v>
          </cell>
        </row>
        <row r="543">
          <cell r="A543">
            <v>542</v>
          </cell>
          <cell r="B543">
            <v>0.13639999999999999</v>
          </cell>
          <cell r="C543">
            <v>0.74</v>
          </cell>
          <cell r="D543">
            <v>0.22389999999999999</v>
          </cell>
          <cell r="E543">
            <v>0</v>
          </cell>
          <cell r="F543">
            <v>9</v>
          </cell>
          <cell r="G543">
            <v>9</v>
          </cell>
        </row>
        <row r="544">
          <cell r="A544">
            <v>543</v>
          </cell>
          <cell r="B544">
            <v>0.18179999999999999</v>
          </cell>
          <cell r="C544">
            <v>0.74</v>
          </cell>
          <cell r="D544">
            <v>0.1045</v>
          </cell>
          <cell r="E544">
            <v>1</v>
          </cell>
          <cell r="F544">
            <v>35</v>
          </cell>
          <cell r="G544">
            <v>36</v>
          </cell>
        </row>
        <row r="545">
          <cell r="A545">
            <v>544</v>
          </cell>
          <cell r="B545">
            <v>0.1515</v>
          </cell>
          <cell r="C545">
            <v>0.74</v>
          </cell>
          <cell r="D545">
            <v>0.22389999999999999</v>
          </cell>
          <cell r="E545">
            <v>5</v>
          </cell>
          <cell r="F545">
            <v>103</v>
          </cell>
          <cell r="G545">
            <v>108</v>
          </cell>
        </row>
        <row r="546">
          <cell r="A546">
            <v>545</v>
          </cell>
          <cell r="B546">
            <v>0.18179999999999999</v>
          </cell>
          <cell r="C546">
            <v>0.74</v>
          </cell>
          <cell r="D546">
            <v>0.1343</v>
          </cell>
          <cell r="E546">
            <v>5</v>
          </cell>
          <cell r="F546">
            <v>233</v>
          </cell>
          <cell r="G546">
            <v>238</v>
          </cell>
        </row>
        <row r="547">
          <cell r="A547">
            <v>546</v>
          </cell>
          <cell r="B547">
            <v>0.2273</v>
          </cell>
          <cell r="C547">
            <v>0.64</v>
          </cell>
          <cell r="D547">
            <v>8.9599999999999999E-2</v>
          </cell>
          <cell r="E547">
            <v>10</v>
          </cell>
          <cell r="F547">
            <v>134</v>
          </cell>
          <cell r="G547">
            <v>144</v>
          </cell>
        </row>
        <row r="548">
          <cell r="A548">
            <v>547</v>
          </cell>
          <cell r="B548">
            <v>0.2424</v>
          </cell>
          <cell r="C548">
            <v>0.6</v>
          </cell>
          <cell r="D548">
            <v>0.1045</v>
          </cell>
          <cell r="E548">
            <v>6</v>
          </cell>
          <cell r="F548">
            <v>49</v>
          </cell>
          <cell r="G548">
            <v>55</v>
          </cell>
        </row>
        <row r="549">
          <cell r="A549">
            <v>548</v>
          </cell>
          <cell r="B549">
            <v>0.2424</v>
          </cell>
          <cell r="C549">
            <v>0.6</v>
          </cell>
          <cell r="D549">
            <v>0.1343</v>
          </cell>
          <cell r="E549">
            <v>6</v>
          </cell>
          <cell r="F549">
            <v>55</v>
          </cell>
          <cell r="G549">
            <v>61</v>
          </cell>
        </row>
        <row r="550">
          <cell r="A550">
            <v>549</v>
          </cell>
          <cell r="B550">
            <v>0.28789999999999999</v>
          </cell>
          <cell r="C550">
            <v>0.56000000000000005</v>
          </cell>
          <cell r="D550">
            <v>8.9599999999999999E-2</v>
          </cell>
          <cell r="E550">
            <v>21</v>
          </cell>
          <cell r="F550">
            <v>85</v>
          </cell>
          <cell r="G550">
            <v>106</v>
          </cell>
        </row>
        <row r="551">
          <cell r="A551">
            <v>550</v>
          </cell>
          <cell r="B551">
            <v>0.2727</v>
          </cell>
          <cell r="C551">
            <v>0.56000000000000005</v>
          </cell>
          <cell r="D551">
            <v>0.1343</v>
          </cell>
          <cell r="E551">
            <v>21</v>
          </cell>
          <cell r="F551">
            <v>72</v>
          </cell>
          <cell r="G551">
            <v>93</v>
          </cell>
        </row>
        <row r="552">
          <cell r="A552">
            <v>551</v>
          </cell>
          <cell r="B552">
            <v>0.33329999999999999</v>
          </cell>
          <cell r="C552">
            <v>0.45</v>
          </cell>
          <cell r="D552">
            <v>0</v>
          </cell>
          <cell r="E552">
            <v>11</v>
          </cell>
          <cell r="F552">
            <v>57</v>
          </cell>
          <cell r="G552">
            <v>68</v>
          </cell>
        </row>
        <row r="553">
          <cell r="A553">
            <v>552</v>
          </cell>
          <cell r="B553">
            <v>0.34849999999999998</v>
          </cell>
          <cell r="C553">
            <v>0.42</v>
          </cell>
          <cell r="D553">
            <v>0</v>
          </cell>
          <cell r="E553">
            <v>21</v>
          </cell>
          <cell r="F553">
            <v>63</v>
          </cell>
          <cell r="G553">
            <v>84</v>
          </cell>
        </row>
        <row r="554">
          <cell r="A554">
            <v>553</v>
          </cell>
          <cell r="B554">
            <v>0.34849999999999998</v>
          </cell>
          <cell r="C554">
            <v>0.42</v>
          </cell>
          <cell r="D554">
            <v>0</v>
          </cell>
          <cell r="E554">
            <v>14</v>
          </cell>
          <cell r="F554">
            <v>102</v>
          </cell>
          <cell r="G554">
            <v>116</v>
          </cell>
        </row>
        <row r="555">
          <cell r="A555">
            <v>554</v>
          </cell>
          <cell r="B555">
            <v>0.33329999999999999</v>
          </cell>
          <cell r="C555">
            <v>0.45</v>
          </cell>
          <cell r="D555">
            <v>0</v>
          </cell>
          <cell r="E555">
            <v>14</v>
          </cell>
          <cell r="F555">
            <v>208</v>
          </cell>
          <cell r="G555">
            <v>222</v>
          </cell>
        </row>
        <row r="556">
          <cell r="A556">
            <v>555</v>
          </cell>
          <cell r="B556">
            <v>0.31819999999999998</v>
          </cell>
          <cell r="C556">
            <v>0.49</v>
          </cell>
          <cell r="D556">
            <v>8.9599999999999999E-2</v>
          </cell>
          <cell r="E556">
            <v>7</v>
          </cell>
          <cell r="F556">
            <v>218</v>
          </cell>
          <cell r="G556">
            <v>225</v>
          </cell>
        </row>
        <row r="557">
          <cell r="A557">
            <v>556</v>
          </cell>
          <cell r="B557">
            <v>0.2576</v>
          </cell>
          <cell r="C557">
            <v>0.65</v>
          </cell>
          <cell r="D557">
            <v>0.16420000000000001</v>
          </cell>
          <cell r="E557">
            <v>13</v>
          </cell>
          <cell r="F557">
            <v>133</v>
          </cell>
          <cell r="G557">
            <v>146</v>
          </cell>
        </row>
        <row r="558">
          <cell r="A558">
            <v>557</v>
          </cell>
          <cell r="B558">
            <v>0.2273</v>
          </cell>
          <cell r="C558">
            <v>0.65</v>
          </cell>
          <cell r="D558">
            <v>0.19400000000000001</v>
          </cell>
          <cell r="E558">
            <v>16</v>
          </cell>
          <cell r="F558">
            <v>103</v>
          </cell>
          <cell r="G558">
            <v>119</v>
          </cell>
        </row>
        <row r="559">
          <cell r="A559">
            <v>558</v>
          </cell>
          <cell r="B559">
            <v>0.2273</v>
          </cell>
          <cell r="C559">
            <v>0.65</v>
          </cell>
          <cell r="D559">
            <v>0.19400000000000001</v>
          </cell>
          <cell r="E559">
            <v>5</v>
          </cell>
          <cell r="F559">
            <v>40</v>
          </cell>
          <cell r="G559">
            <v>45</v>
          </cell>
        </row>
        <row r="560">
          <cell r="A560">
            <v>559</v>
          </cell>
          <cell r="B560">
            <v>0.2273</v>
          </cell>
          <cell r="C560">
            <v>0.64</v>
          </cell>
          <cell r="D560">
            <v>0.16420000000000001</v>
          </cell>
          <cell r="E560">
            <v>4</v>
          </cell>
          <cell r="F560">
            <v>49</v>
          </cell>
          <cell r="G560">
            <v>53</v>
          </cell>
        </row>
        <row r="561">
          <cell r="A561">
            <v>560</v>
          </cell>
          <cell r="B561">
            <v>0.2273</v>
          </cell>
          <cell r="C561">
            <v>0.64</v>
          </cell>
          <cell r="D561">
            <v>0.16420000000000001</v>
          </cell>
          <cell r="E561">
            <v>3</v>
          </cell>
          <cell r="F561">
            <v>37</v>
          </cell>
          <cell r="G561">
            <v>40</v>
          </cell>
        </row>
        <row r="562">
          <cell r="A562">
            <v>561</v>
          </cell>
          <cell r="B562">
            <v>0.2273</v>
          </cell>
          <cell r="C562">
            <v>0.69</v>
          </cell>
          <cell r="D562">
            <v>0.1343</v>
          </cell>
          <cell r="E562">
            <v>3</v>
          </cell>
          <cell r="F562">
            <v>14</v>
          </cell>
          <cell r="G562">
            <v>17</v>
          </cell>
        </row>
        <row r="563">
          <cell r="A563">
            <v>562</v>
          </cell>
          <cell r="B563">
            <v>0.2424</v>
          </cell>
          <cell r="C563">
            <v>0.65</v>
          </cell>
          <cell r="D563">
            <v>0.1343</v>
          </cell>
          <cell r="E563">
            <v>0</v>
          </cell>
          <cell r="F563">
            <v>5</v>
          </cell>
          <cell r="G563">
            <v>5</v>
          </cell>
        </row>
        <row r="564">
          <cell r="A564">
            <v>563</v>
          </cell>
          <cell r="B564">
            <v>0.2273</v>
          </cell>
          <cell r="C564">
            <v>0.69</v>
          </cell>
          <cell r="D564">
            <v>0.19400000000000001</v>
          </cell>
          <cell r="E564">
            <v>3</v>
          </cell>
          <cell r="F564">
            <v>7</v>
          </cell>
          <cell r="G564">
            <v>10</v>
          </cell>
        </row>
        <row r="565">
          <cell r="A565">
            <v>564</v>
          </cell>
          <cell r="B565">
            <v>0.18179999999999999</v>
          </cell>
          <cell r="C565">
            <v>0.86</v>
          </cell>
          <cell r="D565">
            <v>0.28360000000000002</v>
          </cell>
          <cell r="E565">
            <v>0</v>
          </cell>
          <cell r="F565">
            <v>1</v>
          </cell>
          <cell r="G565">
            <v>1</v>
          </cell>
        </row>
        <row r="566">
          <cell r="A566">
            <v>565</v>
          </cell>
          <cell r="B566">
            <v>0.18179999999999999</v>
          </cell>
          <cell r="C566">
            <v>0.86</v>
          </cell>
          <cell r="D566">
            <v>0.28360000000000002</v>
          </cell>
          <cell r="E566">
            <v>0</v>
          </cell>
          <cell r="F566">
            <v>8</v>
          </cell>
          <cell r="G566">
            <v>8</v>
          </cell>
        </row>
        <row r="567">
          <cell r="A567">
            <v>566</v>
          </cell>
          <cell r="B567">
            <v>0.21210000000000001</v>
          </cell>
          <cell r="C567">
            <v>0.87</v>
          </cell>
          <cell r="D567">
            <v>0.29849999999999999</v>
          </cell>
          <cell r="E567">
            <v>1</v>
          </cell>
          <cell r="F567">
            <v>29</v>
          </cell>
          <cell r="G567">
            <v>30</v>
          </cell>
        </row>
        <row r="568">
          <cell r="A568">
            <v>567</v>
          </cell>
          <cell r="B568">
            <v>0.21210000000000001</v>
          </cell>
          <cell r="C568">
            <v>0.87</v>
          </cell>
          <cell r="D568">
            <v>0.29849999999999999</v>
          </cell>
          <cell r="E568">
            <v>3</v>
          </cell>
          <cell r="F568">
            <v>69</v>
          </cell>
          <cell r="G568">
            <v>72</v>
          </cell>
        </row>
        <row r="569">
          <cell r="A569">
            <v>568</v>
          </cell>
          <cell r="B569">
            <v>0.21210000000000001</v>
          </cell>
          <cell r="C569">
            <v>0.87</v>
          </cell>
          <cell r="D569">
            <v>0.29849999999999999</v>
          </cell>
          <cell r="E569">
            <v>3</v>
          </cell>
          <cell r="F569">
            <v>55</v>
          </cell>
          <cell r="G569">
            <v>58</v>
          </cell>
        </row>
        <row r="570">
          <cell r="A570">
            <v>569</v>
          </cell>
          <cell r="B570">
            <v>0.21210000000000001</v>
          </cell>
          <cell r="C570">
            <v>0.93</v>
          </cell>
          <cell r="D570">
            <v>0.28360000000000002</v>
          </cell>
          <cell r="E570">
            <v>2</v>
          </cell>
          <cell r="F570">
            <v>26</v>
          </cell>
          <cell r="G570">
            <v>28</v>
          </cell>
        </row>
        <row r="571">
          <cell r="A571">
            <v>570</v>
          </cell>
          <cell r="B571">
            <v>0.19700000000000001</v>
          </cell>
          <cell r="C571">
            <v>0.93</v>
          </cell>
          <cell r="D571">
            <v>0.32840000000000003</v>
          </cell>
          <cell r="E571">
            <v>6</v>
          </cell>
          <cell r="F571">
            <v>35</v>
          </cell>
          <cell r="G571">
            <v>41</v>
          </cell>
        </row>
        <row r="572">
          <cell r="A572">
            <v>571</v>
          </cell>
          <cell r="B572">
            <v>0.19700000000000001</v>
          </cell>
          <cell r="C572">
            <v>0.93</v>
          </cell>
          <cell r="D572">
            <v>0.32840000000000003</v>
          </cell>
          <cell r="E572">
            <v>7</v>
          </cell>
          <cell r="F572">
            <v>41</v>
          </cell>
          <cell r="G572">
            <v>48</v>
          </cell>
        </row>
        <row r="573">
          <cell r="A573">
            <v>572</v>
          </cell>
          <cell r="B573">
            <v>0.19700000000000001</v>
          </cell>
          <cell r="C573">
            <v>0.93</v>
          </cell>
          <cell r="D573">
            <v>0.32840000000000003</v>
          </cell>
          <cell r="E573">
            <v>4</v>
          </cell>
          <cell r="F573">
            <v>43</v>
          </cell>
          <cell r="G573">
            <v>47</v>
          </cell>
        </row>
        <row r="574">
          <cell r="A574">
            <v>573</v>
          </cell>
          <cell r="B574">
            <v>0.19700000000000001</v>
          </cell>
          <cell r="C574">
            <v>0.93</v>
          </cell>
          <cell r="D574">
            <v>0.35820000000000002</v>
          </cell>
          <cell r="E574">
            <v>0</v>
          </cell>
          <cell r="F574">
            <v>36</v>
          </cell>
          <cell r="G574">
            <v>36</v>
          </cell>
        </row>
        <row r="575">
          <cell r="A575">
            <v>574</v>
          </cell>
          <cell r="B575">
            <v>0.18179999999999999</v>
          </cell>
          <cell r="C575">
            <v>0.93</v>
          </cell>
          <cell r="D575">
            <v>0.4627</v>
          </cell>
          <cell r="E575">
            <v>1</v>
          </cell>
          <cell r="F575">
            <v>42</v>
          </cell>
          <cell r="G575">
            <v>43</v>
          </cell>
        </row>
        <row r="576">
          <cell r="A576">
            <v>575</v>
          </cell>
          <cell r="B576">
            <v>0.19700000000000001</v>
          </cell>
          <cell r="C576">
            <v>0.93</v>
          </cell>
          <cell r="D576">
            <v>0.32840000000000003</v>
          </cell>
          <cell r="E576">
            <v>1</v>
          </cell>
          <cell r="F576">
            <v>35</v>
          </cell>
          <cell r="G576">
            <v>36</v>
          </cell>
        </row>
        <row r="577">
          <cell r="A577">
            <v>576</v>
          </cell>
          <cell r="B577">
            <v>0.18179999999999999</v>
          </cell>
          <cell r="C577">
            <v>0.93</v>
          </cell>
          <cell r="D577">
            <v>0.35820000000000002</v>
          </cell>
          <cell r="E577">
            <v>0</v>
          </cell>
          <cell r="F577">
            <v>26</v>
          </cell>
          <cell r="G577">
            <v>26</v>
          </cell>
        </row>
        <row r="578">
          <cell r="A578">
            <v>577</v>
          </cell>
          <cell r="B578">
            <v>0.2273</v>
          </cell>
          <cell r="C578">
            <v>0.55000000000000004</v>
          </cell>
          <cell r="D578">
            <v>0.19400000000000001</v>
          </cell>
          <cell r="E578">
            <v>1</v>
          </cell>
          <cell r="F578">
            <v>23</v>
          </cell>
          <cell r="G578">
            <v>24</v>
          </cell>
        </row>
        <row r="579">
          <cell r="A579">
            <v>578</v>
          </cell>
          <cell r="B579">
            <v>0.2424</v>
          </cell>
          <cell r="C579">
            <v>0.55000000000000004</v>
          </cell>
          <cell r="D579">
            <v>0.1045</v>
          </cell>
          <cell r="E579">
            <v>2</v>
          </cell>
          <cell r="F579">
            <v>82</v>
          </cell>
          <cell r="G579">
            <v>84</v>
          </cell>
        </row>
        <row r="580">
          <cell r="A580">
            <v>579</v>
          </cell>
          <cell r="B580">
            <v>0.2273</v>
          </cell>
          <cell r="C580">
            <v>0.69</v>
          </cell>
          <cell r="D580">
            <v>8.9599999999999999E-2</v>
          </cell>
          <cell r="E580">
            <v>3</v>
          </cell>
          <cell r="F580">
            <v>101</v>
          </cell>
          <cell r="G580">
            <v>104</v>
          </cell>
        </row>
        <row r="581">
          <cell r="A581">
            <v>580</v>
          </cell>
          <cell r="B581">
            <v>0.2273</v>
          </cell>
          <cell r="C581">
            <v>0.69</v>
          </cell>
          <cell r="D581">
            <v>8.9599999999999999E-2</v>
          </cell>
          <cell r="E581">
            <v>3</v>
          </cell>
          <cell r="F581">
            <v>76</v>
          </cell>
          <cell r="G581">
            <v>79</v>
          </cell>
        </row>
        <row r="582">
          <cell r="A582">
            <v>581</v>
          </cell>
          <cell r="B582">
            <v>0.21210000000000001</v>
          </cell>
          <cell r="C582">
            <v>0.74</v>
          </cell>
          <cell r="D582">
            <v>8.9599999999999999E-2</v>
          </cell>
          <cell r="E582">
            <v>4</v>
          </cell>
          <cell r="F582">
            <v>55</v>
          </cell>
          <cell r="G582">
            <v>59</v>
          </cell>
        </row>
        <row r="583">
          <cell r="A583">
            <v>582</v>
          </cell>
          <cell r="B583">
            <v>0.21210000000000001</v>
          </cell>
          <cell r="C583">
            <v>0.74</v>
          </cell>
          <cell r="D583">
            <v>8.9599999999999999E-2</v>
          </cell>
          <cell r="E583">
            <v>2</v>
          </cell>
          <cell r="F583">
            <v>36</v>
          </cell>
          <cell r="G583">
            <v>38</v>
          </cell>
        </row>
        <row r="584">
          <cell r="A584">
            <v>583</v>
          </cell>
          <cell r="B584">
            <v>0.21210000000000001</v>
          </cell>
          <cell r="C584">
            <v>0.74</v>
          </cell>
          <cell r="D584">
            <v>8.9599999999999999E-2</v>
          </cell>
          <cell r="E584">
            <v>0</v>
          </cell>
          <cell r="F584">
            <v>27</v>
          </cell>
          <cell r="G584">
            <v>27</v>
          </cell>
        </row>
        <row r="585">
          <cell r="A585">
            <v>584</v>
          </cell>
          <cell r="B585">
            <v>0.19700000000000001</v>
          </cell>
          <cell r="C585">
            <v>0.8</v>
          </cell>
          <cell r="D585">
            <v>0.16420000000000001</v>
          </cell>
          <cell r="E585">
            <v>0</v>
          </cell>
          <cell r="F585">
            <v>16</v>
          </cell>
          <cell r="G585">
            <v>16</v>
          </cell>
        </row>
        <row r="586">
          <cell r="A586">
            <v>585</v>
          </cell>
          <cell r="B586">
            <v>0.21210000000000001</v>
          </cell>
          <cell r="C586">
            <v>0.75</v>
          </cell>
          <cell r="D586">
            <v>0.1343</v>
          </cell>
          <cell r="E586">
            <v>0</v>
          </cell>
          <cell r="F586">
            <v>9</v>
          </cell>
          <cell r="G586">
            <v>9</v>
          </cell>
        </row>
        <row r="587">
          <cell r="A587">
            <v>586</v>
          </cell>
          <cell r="B587">
            <v>0.21210000000000001</v>
          </cell>
          <cell r="C587">
            <v>0.75</v>
          </cell>
          <cell r="D587">
            <v>0.1343</v>
          </cell>
          <cell r="E587">
            <v>1</v>
          </cell>
          <cell r="F587">
            <v>2</v>
          </cell>
          <cell r="G587">
            <v>3</v>
          </cell>
        </row>
        <row r="588">
          <cell r="A588">
            <v>587</v>
          </cell>
          <cell r="B588">
            <v>0.21210000000000001</v>
          </cell>
          <cell r="C588">
            <v>0.75</v>
          </cell>
          <cell r="D588">
            <v>0.16420000000000001</v>
          </cell>
          <cell r="E588">
            <v>0</v>
          </cell>
          <cell r="F588">
            <v>2</v>
          </cell>
          <cell r="G588">
            <v>2</v>
          </cell>
        </row>
        <row r="589">
          <cell r="A589">
            <v>588</v>
          </cell>
          <cell r="B589">
            <v>0.2273</v>
          </cell>
          <cell r="C589">
            <v>0.75</v>
          </cell>
          <cell r="D589">
            <v>0.1045</v>
          </cell>
          <cell r="E589">
            <v>1</v>
          </cell>
          <cell r="F589">
            <v>0</v>
          </cell>
          <cell r="G589">
            <v>1</v>
          </cell>
        </row>
        <row r="590">
          <cell r="A590">
            <v>589</v>
          </cell>
          <cell r="B590">
            <v>0.21210000000000001</v>
          </cell>
          <cell r="C590">
            <v>0.8</v>
          </cell>
          <cell r="D590">
            <v>0.1045</v>
          </cell>
          <cell r="E590">
            <v>0</v>
          </cell>
          <cell r="F590">
            <v>4</v>
          </cell>
          <cell r="G590">
            <v>4</v>
          </cell>
        </row>
        <row r="591">
          <cell r="A591">
            <v>590</v>
          </cell>
          <cell r="B591">
            <v>0.19700000000000001</v>
          </cell>
          <cell r="C591">
            <v>0.8</v>
          </cell>
          <cell r="D591">
            <v>0.1343</v>
          </cell>
          <cell r="E591">
            <v>0</v>
          </cell>
          <cell r="F591">
            <v>16</v>
          </cell>
          <cell r="G591">
            <v>16</v>
          </cell>
        </row>
        <row r="592">
          <cell r="A592">
            <v>591</v>
          </cell>
          <cell r="B592">
            <v>0.19700000000000001</v>
          </cell>
          <cell r="C592">
            <v>0.86</v>
          </cell>
          <cell r="D592">
            <v>8.9599999999999999E-2</v>
          </cell>
          <cell r="E592">
            <v>2</v>
          </cell>
          <cell r="F592">
            <v>58</v>
          </cell>
          <cell r="G592">
            <v>60</v>
          </cell>
        </row>
        <row r="593">
          <cell r="A593">
            <v>592</v>
          </cell>
          <cell r="B593">
            <v>0.19700000000000001</v>
          </cell>
          <cell r="C593">
            <v>0.86</v>
          </cell>
          <cell r="D593">
            <v>8.9599999999999999E-2</v>
          </cell>
          <cell r="E593">
            <v>2</v>
          </cell>
          <cell r="F593">
            <v>155</v>
          </cell>
          <cell r="G593">
            <v>157</v>
          </cell>
        </row>
        <row r="594">
          <cell r="A594">
            <v>593</v>
          </cell>
          <cell r="B594">
            <v>0.21210000000000001</v>
          </cell>
          <cell r="C594">
            <v>0.86</v>
          </cell>
          <cell r="D594">
            <v>8.9599999999999999E-2</v>
          </cell>
          <cell r="E594">
            <v>6</v>
          </cell>
          <cell r="F594">
            <v>95</v>
          </cell>
          <cell r="G594">
            <v>101</v>
          </cell>
        </row>
        <row r="595">
          <cell r="A595">
            <v>594</v>
          </cell>
          <cell r="B595">
            <v>0.21210000000000001</v>
          </cell>
          <cell r="C595">
            <v>0.86</v>
          </cell>
          <cell r="D595">
            <v>0.1045</v>
          </cell>
          <cell r="E595">
            <v>0</v>
          </cell>
          <cell r="F595">
            <v>49</v>
          </cell>
          <cell r="G595">
            <v>49</v>
          </cell>
        </row>
        <row r="596">
          <cell r="A596">
            <v>595</v>
          </cell>
          <cell r="B596">
            <v>0.21210000000000001</v>
          </cell>
          <cell r="C596">
            <v>0.93</v>
          </cell>
          <cell r="D596">
            <v>0.1045</v>
          </cell>
          <cell r="E596">
            <v>0</v>
          </cell>
          <cell r="F596">
            <v>30</v>
          </cell>
          <cell r="G596">
            <v>30</v>
          </cell>
        </row>
        <row r="597">
          <cell r="A597">
            <v>596</v>
          </cell>
          <cell r="B597">
            <v>0.21210000000000001</v>
          </cell>
          <cell r="C597">
            <v>0.93</v>
          </cell>
          <cell r="D597">
            <v>0.1045</v>
          </cell>
          <cell r="E597">
            <v>1</v>
          </cell>
          <cell r="F597">
            <v>28</v>
          </cell>
          <cell r="G597">
            <v>29</v>
          </cell>
        </row>
        <row r="598">
          <cell r="A598">
            <v>597</v>
          </cell>
          <cell r="B598">
            <v>0.21210000000000001</v>
          </cell>
          <cell r="C598">
            <v>0.93</v>
          </cell>
          <cell r="D598">
            <v>0.1045</v>
          </cell>
          <cell r="E598">
            <v>0</v>
          </cell>
          <cell r="F598">
            <v>31</v>
          </cell>
          <cell r="G598">
            <v>31</v>
          </cell>
        </row>
        <row r="599">
          <cell r="A599">
            <v>598</v>
          </cell>
          <cell r="B599">
            <v>0.2727</v>
          </cell>
          <cell r="C599">
            <v>0.8</v>
          </cell>
          <cell r="D599">
            <v>0</v>
          </cell>
          <cell r="E599">
            <v>2</v>
          </cell>
          <cell r="F599">
            <v>36</v>
          </cell>
          <cell r="G599">
            <v>38</v>
          </cell>
        </row>
        <row r="600">
          <cell r="A600">
            <v>599</v>
          </cell>
          <cell r="B600">
            <v>0.2576</v>
          </cell>
          <cell r="C600">
            <v>0.86</v>
          </cell>
          <cell r="D600">
            <v>0</v>
          </cell>
          <cell r="E600">
            <v>1</v>
          </cell>
          <cell r="F600">
            <v>40</v>
          </cell>
          <cell r="G600">
            <v>41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" refreshedDate="46021.543504629626" createdVersion="8" refreshedVersion="8" minRefreshableVersion="3" recordCount="610" xr:uid="{18198CED-693C-0347-90D7-D79105AF7B88}">
  <cacheSource type="worksheet">
    <worksheetSource name="Table1"/>
  </cacheSource>
  <cacheFields count="11">
    <cacheField name="INSTANT" numFmtId="4">
      <sharedItems containsSemiMixedTypes="0" containsString="0" containsNumber="1" containsInteger="1" minValue="1" maxValue="610"/>
    </cacheField>
    <cacheField name="DATE" numFmtId="16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4">
      <sharedItems containsSemiMixedTypes="0" containsString="0" containsNumber="1" containsInteger="1" minValue="1" maxValue="1"/>
    </cacheField>
    <cacheField name="YEAR" numFmtId="4">
      <sharedItems containsSemiMixedTypes="0" containsString="0" containsNumber="1" containsInteger="1" minValue="0" maxValue="0"/>
    </cacheField>
    <cacheField name="MONTH" numFmtId="4">
      <sharedItems containsSemiMixedTypes="0" containsString="0" containsNumber="1" containsInteger="1" minValue="1" maxValue="1"/>
    </cacheField>
    <cacheField name="HOUR" numFmtId="4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4">
      <sharedItems/>
    </cacheField>
    <cacheField name="HOLIDAY2" numFmtId="4">
      <sharedItems containsSemiMixedTypes="0" containsString="0" containsNumber="1" containsInteger="1" minValue="0" maxValue="1"/>
    </cacheField>
    <cacheField name="WEEKDAY" numFmtId="4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" numFmtId="4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ERATURE" numFmtId="4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n v="1"/>
    <n v="0"/>
    <n v="1"/>
    <x v="0"/>
    <b v="0"/>
    <n v="0"/>
    <x v="0"/>
    <x v="0"/>
    <n v="0.24"/>
  </r>
  <r>
    <n v="2"/>
    <x v="0"/>
    <n v="1"/>
    <n v="0"/>
    <n v="1"/>
    <x v="1"/>
    <b v="0"/>
    <n v="0"/>
    <x v="0"/>
    <x v="0"/>
    <n v="0.22"/>
  </r>
  <r>
    <n v="3"/>
    <x v="0"/>
    <n v="1"/>
    <n v="0"/>
    <n v="1"/>
    <x v="2"/>
    <b v="0"/>
    <n v="0"/>
    <x v="0"/>
    <x v="0"/>
    <n v="0.22"/>
  </r>
  <r>
    <n v="4"/>
    <x v="0"/>
    <n v="1"/>
    <n v="0"/>
    <n v="1"/>
    <x v="3"/>
    <b v="0"/>
    <n v="0"/>
    <x v="0"/>
    <x v="0"/>
    <n v="0.24"/>
  </r>
  <r>
    <n v="5"/>
    <x v="0"/>
    <n v="1"/>
    <n v="0"/>
    <n v="1"/>
    <x v="4"/>
    <b v="0"/>
    <n v="0"/>
    <x v="0"/>
    <x v="0"/>
    <n v="0.24"/>
  </r>
  <r>
    <n v="6"/>
    <x v="0"/>
    <n v="1"/>
    <n v="0"/>
    <n v="1"/>
    <x v="5"/>
    <b v="0"/>
    <n v="0"/>
    <x v="0"/>
    <x v="1"/>
    <n v="0.24"/>
  </r>
  <r>
    <n v="7"/>
    <x v="0"/>
    <n v="1"/>
    <n v="0"/>
    <n v="1"/>
    <x v="6"/>
    <b v="0"/>
    <n v="0"/>
    <x v="0"/>
    <x v="0"/>
    <n v="0.22"/>
  </r>
  <r>
    <n v="8"/>
    <x v="0"/>
    <n v="1"/>
    <n v="0"/>
    <n v="1"/>
    <x v="7"/>
    <b v="0"/>
    <n v="0"/>
    <x v="0"/>
    <x v="0"/>
    <n v="0.2"/>
  </r>
  <r>
    <n v="9"/>
    <x v="0"/>
    <n v="1"/>
    <n v="0"/>
    <n v="1"/>
    <x v="8"/>
    <b v="0"/>
    <n v="0"/>
    <x v="0"/>
    <x v="0"/>
    <n v="0.24"/>
  </r>
  <r>
    <n v="10"/>
    <x v="0"/>
    <n v="1"/>
    <n v="0"/>
    <n v="1"/>
    <x v="9"/>
    <b v="0"/>
    <n v="0"/>
    <x v="0"/>
    <x v="0"/>
    <n v="0.32"/>
  </r>
  <r>
    <n v="11"/>
    <x v="0"/>
    <n v="1"/>
    <n v="0"/>
    <n v="1"/>
    <x v="10"/>
    <b v="0"/>
    <n v="0"/>
    <x v="0"/>
    <x v="0"/>
    <n v="0.38"/>
  </r>
  <r>
    <n v="12"/>
    <x v="0"/>
    <n v="1"/>
    <n v="0"/>
    <n v="1"/>
    <x v="11"/>
    <b v="0"/>
    <n v="0"/>
    <x v="0"/>
    <x v="0"/>
    <n v="0.36"/>
  </r>
  <r>
    <n v="13"/>
    <x v="0"/>
    <n v="1"/>
    <n v="0"/>
    <n v="1"/>
    <x v="12"/>
    <b v="0"/>
    <n v="0"/>
    <x v="0"/>
    <x v="0"/>
    <n v="0.42"/>
  </r>
  <r>
    <n v="14"/>
    <x v="0"/>
    <n v="1"/>
    <n v="0"/>
    <n v="1"/>
    <x v="13"/>
    <b v="0"/>
    <n v="0"/>
    <x v="0"/>
    <x v="1"/>
    <n v="0.46"/>
  </r>
  <r>
    <n v="15"/>
    <x v="0"/>
    <n v="1"/>
    <n v="0"/>
    <n v="1"/>
    <x v="14"/>
    <b v="0"/>
    <n v="0"/>
    <x v="0"/>
    <x v="1"/>
    <n v="0.46"/>
  </r>
  <r>
    <n v="16"/>
    <x v="0"/>
    <n v="1"/>
    <n v="0"/>
    <n v="1"/>
    <x v="15"/>
    <b v="0"/>
    <n v="0"/>
    <x v="0"/>
    <x v="1"/>
    <n v="0.44"/>
  </r>
  <r>
    <n v="17"/>
    <x v="0"/>
    <n v="1"/>
    <n v="0"/>
    <n v="1"/>
    <x v="16"/>
    <b v="0"/>
    <n v="0"/>
    <x v="0"/>
    <x v="1"/>
    <n v="0.42"/>
  </r>
  <r>
    <n v="18"/>
    <x v="0"/>
    <n v="1"/>
    <n v="0"/>
    <n v="1"/>
    <x v="17"/>
    <b v="0"/>
    <n v="0"/>
    <x v="0"/>
    <x v="1"/>
    <n v="0.44"/>
  </r>
  <r>
    <n v="19"/>
    <x v="0"/>
    <n v="1"/>
    <n v="0"/>
    <n v="1"/>
    <x v="18"/>
    <b v="0"/>
    <n v="0"/>
    <x v="0"/>
    <x v="2"/>
    <n v="0.42"/>
  </r>
  <r>
    <n v="20"/>
    <x v="0"/>
    <n v="1"/>
    <n v="0"/>
    <n v="1"/>
    <x v="19"/>
    <b v="0"/>
    <n v="0"/>
    <x v="0"/>
    <x v="2"/>
    <n v="0.42"/>
  </r>
  <r>
    <n v="21"/>
    <x v="0"/>
    <n v="1"/>
    <n v="0"/>
    <n v="1"/>
    <x v="20"/>
    <b v="0"/>
    <n v="0"/>
    <x v="0"/>
    <x v="1"/>
    <n v="0.4"/>
  </r>
  <r>
    <n v="22"/>
    <x v="0"/>
    <n v="1"/>
    <n v="0"/>
    <n v="1"/>
    <x v="21"/>
    <b v="0"/>
    <n v="0"/>
    <x v="0"/>
    <x v="1"/>
    <n v="0.4"/>
  </r>
  <r>
    <n v="23"/>
    <x v="0"/>
    <n v="1"/>
    <n v="0"/>
    <n v="1"/>
    <x v="22"/>
    <b v="0"/>
    <n v="0"/>
    <x v="0"/>
    <x v="1"/>
    <n v="0.4"/>
  </r>
  <r>
    <n v="24"/>
    <x v="0"/>
    <n v="1"/>
    <n v="0"/>
    <n v="1"/>
    <x v="23"/>
    <b v="0"/>
    <n v="0"/>
    <x v="0"/>
    <x v="1"/>
    <n v="0.46"/>
  </r>
  <r>
    <n v="25"/>
    <x v="1"/>
    <n v="1"/>
    <n v="0"/>
    <n v="1"/>
    <x v="0"/>
    <b v="0"/>
    <n v="0"/>
    <x v="1"/>
    <x v="1"/>
    <n v="0.46"/>
  </r>
  <r>
    <n v="26"/>
    <x v="1"/>
    <n v="1"/>
    <n v="0"/>
    <n v="1"/>
    <x v="1"/>
    <b v="0"/>
    <n v="0"/>
    <x v="1"/>
    <x v="1"/>
    <n v="0.44"/>
  </r>
  <r>
    <n v="27"/>
    <x v="1"/>
    <n v="1"/>
    <n v="0"/>
    <n v="1"/>
    <x v="2"/>
    <b v="0"/>
    <n v="0"/>
    <x v="1"/>
    <x v="1"/>
    <n v="0.42"/>
  </r>
  <r>
    <n v="28"/>
    <x v="1"/>
    <n v="1"/>
    <n v="0"/>
    <n v="1"/>
    <x v="3"/>
    <b v="0"/>
    <n v="0"/>
    <x v="1"/>
    <x v="1"/>
    <n v="0.46"/>
  </r>
  <r>
    <n v="29"/>
    <x v="1"/>
    <n v="1"/>
    <n v="0"/>
    <n v="1"/>
    <x v="4"/>
    <b v="0"/>
    <n v="0"/>
    <x v="1"/>
    <x v="1"/>
    <n v="0.46"/>
  </r>
  <r>
    <n v="30"/>
    <x v="1"/>
    <n v="1"/>
    <n v="0"/>
    <n v="1"/>
    <x v="6"/>
    <b v="0"/>
    <n v="0"/>
    <x v="1"/>
    <x v="2"/>
    <n v="0.42"/>
  </r>
  <r>
    <n v="31"/>
    <x v="1"/>
    <n v="1"/>
    <n v="0"/>
    <n v="1"/>
    <x v="7"/>
    <b v="0"/>
    <n v="0"/>
    <x v="1"/>
    <x v="1"/>
    <n v="0.4"/>
  </r>
  <r>
    <n v="32"/>
    <x v="1"/>
    <n v="1"/>
    <n v="0"/>
    <n v="1"/>
    <x v="8"/>
    <b v="0"/>
    <n v="0"/>
    <x v="1"/>
    <x v="2"/>
    <n v="0.4"/>
  </r>
  <r>
    <n v="33"/>
    <x v="1"/>
    <n v="1"/>
    <n v="0"/>
    <n v="1"/>
    <x v="9"/>
    <b v="0"/>
    <n v="0"/>
    <x v="1"/>
    <x v="1"/>
    <n v="0.38"/>
  </r>
  <r>
    <n v="34"/>
    <x v="1"/>
    <n v="1"/>
    <n v="0"/>
    <n v="1"/>
    <x v="10"/>
    <b v="0"/>
    <n v="0"/>
    <x v="1"/>
    <x v="1"/>
    <n v="0.36"/>
  </r>
  <r>
    <n v="35"/>
    <x v="1"/>
    <n v="1"/>
    <n v="0"/>
    <n v="1"/>
    <x v="11"/>
    <b v="0"/>
    <n v="0"/>
    <x v="1"/>
    <x v="1"/>
    <n v="0.36"/>
  </r>
  <r>
    <n v="36"/>
    <x v="1"/>
    <n v="1"/>
    <n v="0"/>
    <n v="1"/>
    <x v="12"/>
    <b v="0"/>
    <n v="0"/>
    <x v="1"/>
    <x v="1"/>
    <n v="0.36"/>
  </r>
  <r>
    <n v="37"/>
    <x v="1"/>
    <n v="1"/>
    <n v="0"/>
    <n v="1"/>
    <x v="13"/>
    <b v="0"/>
    <n v="0"/>
    <x v="1"/>
    <x v="1"/>
    <n v="0.36"/>
  </r>
  <r>
    <n v="38"/>
    <x v="1"/>
    <n v="1"/>
    <n v="0"/>
    <n v="1"/>
    <x v="14"/>
    <b v="0"/>
    <n v="0"/>
    <x v="1"/>
    <x v="2"/>
    <n v="0.36"/>
  </r>
  <r>
    <n v="39"/>
    <x v="1"/>
    <n v="1"/>
    <n v="0"/>
    <n v="1"/>
    <x v="15"/>
    <b v="0"/>
    <n v="0"/>
    <x v="1"/>
    <x v="2"/>
    <n v="0.34"/>
  </r>
  <r>
    <n v="40"/>
    <x v="1"/>
    <n v="1"/>
    <n v="0"/>
    <n v="1"/>
    <x v="16"/>
    <b v="0"/>
    <n v="0"/>
    <x v="1"/>
    <x v="2"/>
    <n v="0.34"/>
  </r>
  <r>
    <n v="41"/>
    <x v="1"/>
    <n v="1"/>
    <n v="0"/>
    <n v="1"/>
    <x v="17"/>
    <b v="0"/>
    <n v="0"/>
    <x v="1"/>
    <x v="0"/>
    <n v="0.34"/>
  </r>
  <r>
    <n v="42"/>
    <x v="1"/>
    <n v="1"/>
    <n v="0"/>
    <n v="1"/>
    <x v="18"/>
    <b v="0"/>
    <n v="0"/>
    <x v="1"/>
    <x v="1"/>
    <n v="0.36"/>
  </r>
  <r>
    <n v="43"/>
    <x v="1"/>
    <n v="1"/>
    <n v="0"/>
    <n v="1"/>
    <x v="19"/>
    <b v="0"/>
    <n v="0"/>
    <x v="1"/>
    <x v="0"/>
    <n v="0.32"/>
  </r>
  <r>
    <n v="44"/>
    <x v="1"/>
    <n v="1"/>
    <n v="0"/>
    <n v="1"/>
    <x v="20"/>
    <b v="0"/>
    <n v="0"/>
    <x v="1"/>
    <x v="0"/>
    <n v="0.3"/>
  </r>
  <r>
    <n v="45"/>
    <x v="1"/>
    <n v="1"/>
    <n v="0"/>
    <n v="1"/>
    <x v="21"/>
    <b v="0"/>
    <n v="0"/>
    <x v="1"/>
    <x v="0"/>
    <n v="0.26"/>
  </r>
  <r>
    <n v="46"/>
    <x v="1"/>
    <n v="1"/>
    <n v="0"/>
    <n v="1"/>
    <x v="22"/>
    <b v="0"/>
    <n v="0"/>
    <x v="1"/>
    <x v="0"/>
    <n v="0.24"/>
  </r>
  <r>
    <n v="47"/>
    <x v="1"/>
    <n v="1"/>
    <n v="0"/>
    <n v="1"/>
    <x v="23"/>
    <b v="0"/>
    <n v="0"/>
    <x v="1"/>
    <x v="0"/>
    <n v="0.22"/>
  </r>
  <r>
    <n v="48"/>
    <x v="2"/>
    <n v="1"/>
    <n v="0"/>
    <n v="1"/>
    <x v="0"/>
    <b v="0"/>
    <n v="0"/>
    <x v="2"/>
    <x v="0"/>
    <n v="0.22"/>
  </r>
  <r>
    <n v="49"/>
    <x v="2"/>
    <n v="1"/>
    <n v="0"/>
    <n v="1"/>
    <x v="1"/>
    <b v="0"/>
    <n v="0"/>
    <x v="2"/>
    <x v="0"/>
    <n v="0.2"/>
  </r>
  <r>
    <n v="50"/>
    <x v="2"/>
    <n v="1"/>
    <n v="0"/>
    <n v="1"/>
    <x v="4"/>
    <b v="0"/>
    <n v="0"/>
    <x v="2"/>
    <x v="0"/>
    <n v="0.16"/>
  </r>
  <r>
    <n v="51"/>
    <x v="2"/>
    <n v="1"/>
    <n v="0"/>
    <n v="1"/>
    <x v="5"/>
    <b v="0"/>
    <n v="0"/>
    <x v="2"/>
    <x v="0"/>
    <n v="0.16"/>
  </r>
  <r>
    <n v="52"/>
    <x v="2"/>
    <n v="1"/>
    <n v="0"/>
    <n v="1"/>
    <x v="6"/>
    <b v="0"/>
    <n v="0"/>
    <x v="2"/>
    <x v="0"/>
    <n v="0.14000000000000001"/>
  </r>
  <r>
    <n v="53"/>
    <x v="2"/>
    <n v="1"/>
    <n v="0"/>
    <n v="1"/>
    <x v="7"/>
    <b v="0"/>
    <n v="0"/>
    <x v="2"/>
    <x v="0"/>
    <n v="0.14000000000000001"/>
  </r>
  <r>
    <n v="54"/>
    <x v="2"/>
    <n v="1"/>
    <n v="0"/>
    <n v="1"/>
    <x v="8"/>
    <b v="0"/>
    <n v="0"/>
    <x v="2"/>
    <x v="0"/>
    <n v="0.14000000000000001"/>
  </r>
  <r>
    <n v="55"/>
    <x v="2"/>
    <n v="1"/>
    <n v="0"/>
    <n v="1"/>
    <x v="9"/>
    <b v="0"/>
    <n v="0"/>
    <x v="2"/>
    <x v="0"/>
    <n v="0.16"/>
  </r>
  <r>
    <n v="56"/>
    <x v="2"/>
    <n v="1"/>
    <n v="0"/>
    <n v="1"/>
    <x v="10"/>
    <b v="0"/>
    <n v="0"/>
    <x v="2"/>
    <x v="0"/>
    <n v="0.18"/>
  </r>
  <r>
    <n v="57"/>
    <x v="2"/>
    <n v="1"/>
    <n v="0"/>
    <n v="1"/>
    <x v="11"/>
    <b v="0"/>
    <n v="0"/>
    <x v="2"/>
    <x v="0"/>
    <n v="0.2"/>
  </r>
  <r>
    <n v="58"/>
    <x v="2"/>
    <n v="1"/>
    <n v="0"/>
    <n v="1"/>
    <x v="12"/>
    <b v="0"/>
    <n v="0"/>
    <x v="2"/>
    <x v="0"/>
    <n v="0.22"/>
  </r>
  <r>
    <n v="59"/>
    <x v="2"/>
    <n v="1"/>
    <n v="0"/>
    <n v="1"/>
    <x v="13"/>
    <b v="0"/>
    <n v="0"/>
    <x v="2"/>
    <x v="0"/>
    <n v="0.24"/>
  </r>
  <r>
    <n v="60"/>
    <x v="2"/>
    <n v="1"/>
    <n v="0"/>
    <n v="1"/>
    <x v="14"/>
    <b v="0"/>
    <n v="0"/>
    <x v="2"/>
    <x v="0"/>
    <n v="0.26"/>
  </r>
  <r>
    <n v="61"/>
    <x v="2"/>
    <n v="1"/>
    <n v="0"/>
    <n v="1"/>
    <x v="15"/>
    <b v="0"/>
    <n v="0"/>
    <x v="2"/>
    <x v="0"/>
    <n v="0.26"/>
  </r>
  <r>
    <n v="62"/>
    <x v="2"/>
    <n v="1"/>
    <n v="0"/>
    <n v="1"/>
    <x v="16"/>
    <b v="0"/>
    <n v="0"/>
    <x v="2"/>
    <x v="0"/>
    <n v="0.26"/>
  </r>
  <r>
    <n v="63"/>
    <x v="2"/>
    <n v="1"/>
    <n v="0"/>
    <n v="1"/>
    <x v="17"/>
    <b v="0"/>
    <n v="0"/>
    <x v="2"/>
    <x v="0"/>
    <n v="0.24"/>
  </r>
  <r>
    <n v="64"/>
    <x v="2"/>
    <n v="1"/>
    <n v="0"/>
    <n v="1"/>
    <x v="18"/>
    <b v="0"/>
    <n v="0"/>
    <x v="2"/>
    <x v="0"/>
    <n v="0.24"/>
  </r>
  <r>
    <n v="65"/>
    <x v="2"/>
    <n v="1"/>
    <n v="0"/>
    <n v="1"/>
    <x v="19"/>
    <b v="0"/>
    <n v="0"/>
    <x v="2"/>
    <x v="0"/>
    <n v="0.2"/>
  </r>
  <r>
    <n v="66"/>
    <x v="2"/>
    <n v="1"/>
    <n v="0"/>
    <n v="1"/>
    <x v="20"/>
    <b v="0"/>
    <n v="0"/>
    <x v="2"/>
    <x v="0"/>
    <n v="0.2"/>
  </r>
  <r>
    <n v="67"/>
    <x v="2"/>
    <n v="1"/>
    <n v="0"/>
    <n v="1"/>
    <x v="21"/>
    <b v="0"/>
    <n v="0"/>
    <x v="2"/>
    <x v="0"/>
    <n v="0.18"/>
  </r>
  <r>
    <n v="68"/>
    <x v="2"/>
    <n v="1"/>
    <n v="0"/>
    <n v="1"/>
    <x v="22"/>
    <b v="0"/>
    <n v="0"/>
    <x v="2"/>
    <x v="0"/>
    <n v="0.14000000000000001"/>
  </r>
  <r>
    <n v="69"/>
    <x v="2"/>
    <n v="1"/>
    <n v="0"/>
    <n v="1"/>
    <x v="23"/>
    <b v="0"/>
    <n v="0"/>
    <x v="2"/>
    <x v="0"/>
    <n v="0.18"/>
  </r>
  <r>
    <n v="70"/>
    <x v="3"/>
    <n v="1"/>
    <n v="0"/>
    <n v="1"/>
    <x v="0"/>
    <b v="0"/>
    <n v="0"/>
    <x v="3"/>
    <x v="0"/>
    <n v="0.16"/>
  </r>
  <r>
    <n v="71"/>
    <x v="3"/>
    <n v="1"/>
    <n v="0"/>
    <n v="1"/>
    <x v="1"/>
    <b v="0"/>
    <n v="0"/>
    <x v="3"/>
    <x v="0"/>
    <n v="0.16"/>
  </r>
  <r>
    <n v="72"/>
    <x v="3"/>
    <n v="1"/>
    <n v="0"/>
    <n v="1"/>
    <x v="2"/>
    <b v="0"/>
    <n v="0"/>
    <x v="3"/>
    <x v="0"/>
    <n v="0.14000000000000001"/>
  </r>
  <r>
    <n v="73"/>
    <x v="3"/>
    <n v="1"/>
    <n v="0"/>
    <n v="1"/>
    <x v="4"/>
    <b v="0"/>
    <n v="0"/>
    <x v="3"/>
    <x v="0"/>
    <n v="0.14000000000000001"/>
  </r>
  <r>
    <n v="74"/>
    <x v="3"/>
    <n v="1"/>
    <n v="0"/>
    <n v="1"/>
    <x v="5"/>
    <b v="0"/>
    <n v="0"/>
    <x v="3"/>
    <x v="0"/>
    <n v="0.12"/>
  </r>
  <r>
    <n v="75"/>
    <x v="3"/>
    <n v="1"/>
    <n v="0"/>
    <n v="1"/>
    <x v="6"/>
    <b v="0"/>
    <n v="0"/>
    <x v="3"/>
    <x v="0"/>
    <n v="0.12"/>
  </r>
  <r>
    <n v="76"/>
    <x v="3"/>
    <n v="1"/>
    <n v="0"/>
    <n v="1"/>
    <x v="7"/>
    <b v="0"/>
    <n v="0"/>
    <x v="3"/>
    <x v="0"/>
    <n v="0.12"/>
  </r>
  <r>
    <n v="77"/>
    <x v="3"/>
    <n v="1"/>
    <n v="0"/>
    <n v="1"/>
    <x v="8"/>
    <b v="0"/>
    <n v="0"/>
    <x v="3"/>
    <x v="0"/>
    <n v="0.14000000000000001"/>
  </r>
  <r>
    <n v="78"/>
    <x v="3"/>
    <n v="1"/>
    <n v="0"/>
    <n v="1"/>
    <x v="9"/>
    <b v="0"/>
    <n v="0"/>
    <x v="3"/>
    <x v="0"/>
    <n v="0.16"/>
  </r>
  <r>
    <n v="79"/>
    <x v="3"/>
    <n v="1"/>
    <n v="0"/>
    <n v="1"/>
    <x v="10"/>
    <b v="0"/>
    <n v="0"/>
    <x v="3"/>
    <x v="1"/>
    <n v="0.16"/>
  </r>
  <r>
    <n v="80"/>
    <x v="3"/>
    <n v="1"/>
    <n v="0"/>
    <n v="1"/>
    <x v="11"/>
    <b v="0"/>
    <n v="0"/>
    <x v="3"/>
    <x v="0"/>
    <n v="0.22"/>
  </r>
  <r>
    <n v="81"/>
    <x v="3"/>
    <n v="1"/>
    <n v="0"/>
    <n v="1"/>
    <x v="12"/>
    <b v="0"/>
    <n v="0"/>
    <x v="3"/>
    <x v="0"/>
    <n v="0.22"/>
  </r>
  <r>
    <n v="82"/>
    <x v="3"/>
    <n v="1"/>
    <n v="0"/>
    <n v="1"/>
    <x v="13"/>
    <b v="0"/>
    <n v="0"/>
    <x v="3"/>
    <x v="0"/>
    <n v="0.24"/>
  </r>
  <r>
    <n v="83"/>
    <x v="3"/>
    <n v="1"/>
    <n v="0"/>
    <n v="1"/>
    <x v="14"/>
    <b v="0"/>
    <n v="0"/>
    <x v="3"/>
    <x v="0"/>
    <n v="0.26"/>
  </r>
  <r>
    <n v="84"/>
    <x v="3"/>
    <n v="1"/>
    <n v="0"/>
    <n v="1"/>
    <x v="15"/>
    <b v="0"/>
    <n v="0"/>
    <x v="3"/>
    <x v="0"/>
    <n v="0.28000000000000003"/>
  </r>
  <r>
    <n v="85"/>
    <x v="3"/>
    <n v="1"/>
    <n v="0"/>
    <n v="1"/>
    <x v="16"/>
    <b v="0"/>
    <n v="0"/>
    <x v="3"/>
    <x v="0"/>
    <n v="0.3"/>
  </r>
  <r>
    <n v="86"/>
    <x v="3"/>
    <n v="1"/>
    <n v="0"/>
    <n v="1"/>
    <x v="17"/>
    <b v="0"/>
    <n v="0"/>
    <x v="3"/>
    <x v="0"/>
    <n v="0.28000000000000003"/>
  </r>
  <r>
    <n v="87"/>
    <x v="3"/>
    <n v="1"/>
    <n v="0"/>
    <n v="1"/>
    <x v="18"/>
    <b v="0"/>
    <n v="0"/>
    <x v="3"/>
    <x v="0"/>
    <n v="0.26"/>
  </r>
  <r>
    <n v="88"/>
    <x v="3"/>
    <n v="1"/>
    <n v="0"/>
    <n v="1"/>
    <x v="19"/>
    <b v="0"/>
    <n v="0"/>
    <x v="3"/>
    <x v="0"/>
    <n v="0.24"/>
  </r>
  <r>
    <n v="89"/>
    <x v="3"/>
    <n v="1"/>
    <n v="0"/>
    <n v="1"/>
    <x v="20"/>
    <b v="0"/>
    <n v="0"/>
    <x v="3"/>
    <x v="0"/>
    <n v="0.24"/>
  </r>
  <r>
    <n v="90"/>
    <x v="3"/>
    <n v="1"/>
    <n v="0"/>
    <n v="1"/>
    <x v="21"/>
    <b v="0"/>
    <n v="0"/>
    <x v="3"/>
    <x v="0"/>
    <n v="0.22"/>
  </r>
  <r>
    <n v="91"/>
    <x v="3"/>
    <n v="1"/>
    <n v="0"/>
    <n v="1"/>
    <x v="22"/>
    <b v="0"/>
    <n v="0"/>
    <x v="3"/>
    <x v="0"/>
    <n v="0.22"/>
  </r>
  <r>
    <n v="92"/>
    <x v="3"/>
    <n v="1"/>
    <n v="0"/>
    <n v="1"/>
    <x v="23"/>
    <b v="0"/>
    <n v="0"/>
    <x v="3"/>
    <x v="0"/>
    <n v="0.2"/>
  </r>
  <r>
    <n v="93"/>
    <x v="4"/>
    <n v="1"/>
    <n v="0"/>
    <n v="1"/>
    <x v="0"/>
    <b v="0"/>
    <n v="0"/>
    <x v="4"/>
    <x v="0"/>
    <n v="0.2"/>
  </r>
  <r>
    <n v="94"/>
    <x v="4"/>
    <n v="1"/>
    <n v="0"/>
    <n v="1"/>
    <x v="1"/>
    <b v="0"/>
    <n v="0"/>
    <x v="4"/>
    <x v="0"/>
    <n v="0.16"/>
  </r>
  <r>
    <n v="95"/>
    <x v="4"/>
    <n v="1"/>
    <n v="0"/>
    <n v="1"/>
    <x v="2"/>
    <b v="0"/>
    <n v="0"/>
    <x v="4"/>
    <x v="0"/>
    <n v="0.16"/>
  </r>
  <r>
    <n v="96"/>
    <x v="4"/>
    <n v="1"/>
    <n v="0"/>
    <n v="1"/>
    <x v="4"/>
    <b v="0"/>
    <n v="0"/>
    <x v="4"/>
    <x v="0"/>
    <n v="0.24"/>
  </r>
  <r>
    <n v="97"/>
    <x v="4"/>
    <n v="1"/>
    <n v="0"/>
    <n v="1"/>
    <x v="5"/>
    <b v="0"/>
    <n v="0"/>
    <x v="4"/>
    <x v="0"/>
    <n v="0.22"/>
  </r>
  <r>
    <n v="98"/>
    <x v="4"/>
    <n v="1"/>
    <n v="0"/>
    <n v="1"/>
    <x v="6"/>
    <b v="0"/>
    <n v="0"/>
    <x v="4"/>
    <x v="0"/>
    <n v="0.2"/>
  </r>
  <r>
    <n v="99"/>
    <x v="4"/>
    <n v="1"/>
    <n v="0"/>
    <n v="1"/>
    <x v="7"/>
    <b v="0"/>
    <n v="0"/>
    <x v="4"/>
    <x v="0"/>
    <n v="0.18"/>
  </r>
  <r>
    <n v="100"/>
    <x v="4"/>
    <n v="1"/>
    <n v="0"/>
    <n v="1"/>
    <x v="8"/>
    <b v="0"/>
    <n v="0"/>
    <x v="4"/>
    <x v="0"/>
    <n v="0.2"/>
  </r>
  <r>
    <n v="101"/>
    <x v="4"/>
    <n v="1"/>
    <n v="0"/>
    <n v="1"/>
    <x v="9"/>
    <b v="0"/>
    <n v="0"/>
    <x v="4"/>
    <x v="0"/>
    <n v="0.22"/>
  </r>
  <r>
    <n v="102"/>
    <x v="4"/>
    <n v="1"/>
    <n v="0"/>
    <n v="1"/>
    <x v="10"/>
    <b v="0"/>
    <n v="0"/>
    <x v="4"/>
    <x v="0"/>
    <n v="0.22"/>
  </r>
  <r>
    <n v="103"/>
    <x v="4"/>
    <n v="1"/>
    <n v="0"/>
    <n v="1"/>
    <x v="11"/>
    <b v="0"/>
    <n v="0"/>
    <x v="4"/>
    <x v="0"/>
    <n v="0.26"/>
  </r>
  <r>
    <n v="104"/>
    <x v="4"/>
    <n v="1"/>
    <n v="0"/>
    <n v="1"/>
    <x v="12"/>
    <b v="0"/>
    <n v="0"/>
    <x v="4"/>
    <x v="0"/>
    <n v="0.26"/>
  </r>
  <r>
    <n v="105"/>
    <x v="4"/>
    <n v="1"/>
    <n v="0"/>
    <n v="1"/>
    <x v="13"/>
    <b v="0"/>
    <n v="0"/>
    <x v="4"/>
    <x v="0"/>
    <n v="0.28000000000000003"/>
  </r>
  <r>
    <n v="106"/>
    <x v="4"/>
    <n v="1"/>
    <n v="0"/>
    <n v="1"/>
    <x v="14"/>
    <b v="0"/>
    <n v="0"/>
    <x v="4"/>
    <x v="0"/>
    <n v="0.3"/>
  </r>
  <r>
    <n v="107"/>
    <x v="4"/>
    <n v="1"/>
    <n v="0"/>
    <n v="1"/>
    <x v="15"/>
    <b v="0"/>
    <n v="0"/>
    <x v="4"/>
    <x v="0"/>
    <n v="0.3"/>
  </r>
  <r>
    <n v="108"/>
    <x v="4"/>
    <n v="1"/>
    <n v="0"/>
    <n v="1"/>
    <x v="16"/>
    <b v="0"/>
    <n v="0"/>
    <x v="4"/>
    <x v="0"/>
    <n v="0.3"/>
  </r>
  <r>
    <n v="109"/>
    <x v="4"/>
    <n v="1"/>
    <n v="0"/>
    <n v="1"/>
    <x v="17"/>
    <b v="0"/>
    <n v="0"/>
    <x v="4"/>
    <x v="0"/>
    <n v="0.24"/>
  </r>
  <r>
    <n v="110"/>
    <x v="4"/>
    <n v="1"/>
    <n v="0"/>
    <n v="1"/>
    <x v="18"/>
    <b v="0"/>
    <n v="0"/>
    <x v="4"/>
    <x v="0"/>
    <n v="0.24"/>
  </r>
  <r>
    <n v="111"/>
    <x v="4"/>
    <n v="1"/>
    <n v="0"/>
    <n v="1"/>
    <x v="19"/>
    <b v="0"/>
    <n v="0"/>
    <x v="4"/>
    <x v="0"/>
    <n v="0.24"/>
  </r>
  <r>
    <n v="112"/>
    <x v="4"/>
    <n v="1"/>
    <n v="0"/>
    <n v="1"/>
    <x v="20"/>
    <b v="0"/>
    <n v="0"/>
    <x v="4"/>
    <x v="0"/>
    <n v="0.22"/>
  </r>
  <r>
    <n v="113"/>
    <x v="4"/>
    <n v="1"/>
    <n v="0"/>
    <n v="1"/>
    <x v="21"/>
    <b v="0"/>
    <n v="0"/>
    <x v="4"/>
    <x v="0"/>
    <n v="0.2"/>
  </r>
  <r>
    <n v="114"/>
    <x v="4"/>
    <n v="1"/>
    <n v="0"/>
    <n v="1"/>
    <x v="22"/>
    <b v="0"/>
    <n v="0"/>
    <x v="4"/>
    <x v="0"/>
    <n v="0.18"/>
  </r>
  <r>
    <n v="115"/>
    <x v="4"/>
    <n v="1"/>
    <n v="0"/>
    <n v="1"/>
    <x v="23"/>
    <b v="0"/>
    <n v="0"/>
    <x v="4"/>
    <x v="0"/>
    <n v="0.2"/>
  </r>
  <r>
    <n v="116"/>
    <x v="5"/>
    <n v="1"/>
    <n v="0"/>
    <n v="1"/>
    <x v="0"/>
    <b v="0"/>
    <n v="0"/>
    <x v="5"/>
    <x v="0"/>
    <n v="0.18"/>
  </r>
  <r>
    <n v="117"/>
    <x v="5"/>
    <n v="1"/>
    <n v="0"/>
    <n v="1"/>
    <x v="1"/>
    <b v="0"/>
    <n v="0"/>
    <x v="5"/>
    <x v="0"/>
    <n v="0.16"/>
  </r>
  <r>
    <n v="118"/>
    <x v="5"/>
    <n v="1"/>
    <n v="0"/>
    <n v="1"/>
    <x v="2"/>
    <b v="0"/>
    <n v="0"/>
    <x v="5"/>
    <x v="0"/>
    <n v="0.16"/>
  </r>
  <r>
    <n v="119"/>
    <x v="5"/>
    <n v="1"/>
    <n v="0"/>
    <n v="1"/>
    <x v="4"/>
    <b v="0"/>
    <n v="0"/>
    <x v="5"/>
    <x v="1"/>
    <n v="0.16"/>
  </r>
  <r>
    <n v="120"/>
    <x v="5"/>
    <n v="1"/>
    <n v="0"/>
    <n v="1"/>
    <x v="5"/>
    <b v="0"/>
    <n v="0"/>
    <x v="5"/>
    <x v="1"/>
    <n v="0.14000000000000001"/>
  </r>
  <r>
    <n v="121"/>
    <x v="5"/>
    <n v="1"/>
    <n v="0"/>
    <n v="1"/>
    <x v="6"/>
    <b v="0"/>
    <n v="0"/>
    <x v="5"/>
    <x v="1"/>
    <n v="0.14000000000000001"/>
  </r>
  <r>
    <n v="122"/>
    <x v="5"/>
    <n v="1"/>
    <n v="0"/>
    <n v="1"/>
    <x v="7"/>
    <b v="0"/>
    <n v="0"/>
    <x v="5"/>
    <x v="1"/>
    <n v="0.16"/>
  </r>
  <r>
    <n v="123"/>
    <x v="5"/>
    <n v="1"/>
    <n v="0"/>
    <n v="1"/>
    <x v="8"/>
    <b v="0"/>
    <n v="0"/>
    <x v="5"/>
    <x v="0"/>
    <n v="0.16"/>
  </r>
  <r>
    <n v="124"/>
    <x v="5"/>
    <n v="1"/>
    <n v="0"/>
    <n v="1"/>
    <x v="9"/>
    <b v="0"/>
    <n v="0"/>
    <x v="5"/>
    <x v="1"/>
    <n v="0.18"/>
  </r>
  <r>
    <n v="125"/>
    <x v="5"/>
    <n v="1"/>
    <n v="0"/>
    <n v="1"/>
    <x v="10"/>
    <b v="0"/>
    <n v="0"/>
    <x v="5"/>
    <x v="0"/>
    <n v="0.2"/>
  </r>
  <r>
    <n v="126"/>
    <x v="5"/>
    <n v="1"/>
    <n v="0"/>
    <n v="1"/>
    <x v="11"/>
    <b v="0"/>
    <n v="0"/>
    <x v="5"/>
    <x v="0"/>
    <n v="0.22"/>
  </r>
  <r>
    <n v="127"/>
    <x v="5"/>
    <n v="1"/>
    <n v="0"/>
    <n v="1"/>
    <x v="12"/>
    <b v="0"/>
    <n v="0"/>
    <x v="5"/>
    <x v="0"/>
    <n v="0.26"/>
  </r>
  <r>
    <n v="128"/>
    <x v="5"/>
    <n v="1"/>
    <n v="0"/>
    <n v="1"/>
    <x v="13"/>
    <b v="0"/>
    <n v="0"/>
    <x v="5"/>
    <x v="0"/>
    <n v="0.26"/>
  </r>
  <r>
    <n v="129"/>
    <x v="5"/>
    <n v="1"/>
    <n v="0"/>
    <n v="1"/>
    <x v="14"/>
    <b v="0"/>
    <n v="0"/>
    <x v="5"/>
    <x v="0"/>
    <n v="0.28000000000000003"/>
  </r>
  <r>
    <n v="130"/>
    <x v="5"/>
    <n v="1"/>
    <n v="0"/>
    <n v="1"/>
    <x v="15"/>
    <b v="0"/>
    <n v="0"/>
    <x v="5"/>
    <x v="0"/>
    <n v="0.28000000000000003"/>
  </r>
  <r>
    <n v="131"/>
    <x v="5"/>
    <n v="1"/>
    <n v="0"/>
    <n v="1"/>
    <x v="16"/>
    <b v="0"/>
    <n v="0"/>
    <x v="5"/>
    <x v="0"/>
    <n v="0.26"/>
  </r>
  <r>
    <n v="132"/>
    <x v="5"/>
    <n v="1"/>
    <n v="0"/>
    <n v="1"/>
    <x v="17"/>
    <b v="0"/>
    <n v="0"/>
    <x v="5"/>
    <x v="0"/>
    <n v="0.22"/>
  </r>
  <r>
    <n v="133"/>
    <x v="5"/>
    <n v="1"/>
    <n v="0"/>
    <n v="1"/>
    <x v="18"/>
    <b v="0"/>
    <n v="0"/>
    <x v="5"/>
    <x v="0"/>
    <n v="0.22"/>
  </r>
  <r>
    <n v="134"/>
    <x v="5"/>
    <n v="1"/>
    <n v="0"/>
    <n v="1"/>
    <x v="19"/>
    <b v="0"/>
    <n v="0"/>
    <x v="5"/>
    <x v="0"/>
    <n v="0.22"/>
  </r>
  <r>
    <n v="135"/>
    <x v="5"/>
    <n v="1"/>
    <n v="0"/>
    <n v="1"/>
    <x v="20"/>
    <b v="0"/>
    <n v="0"/>
    <x v="5"/>
    <x v="0"/>
    <n v="0.2"/>
  </r>
  <r>
    <n v="136"/>
    <x v="5"/>
    <n v="1"/>
    <n v="0"/>
    <n v="1"/>
    <x v="21"/>
    <b v="0"/>
    <n v="0"/>
    <x v="5"/>
    <x v="1"/>
    <n v="0.22"/>
  </r>
  <r>
    <n v="137"/>
    <x v="5"/>
    <n v="1"/>
    <n v="0"/>
    <n v="1"/>
    <x v="22"/>
    <b v="0"/>
    <n v="0"/>
    <x v="5"/>
    <x v="1"/>
    <n v="0.22"/>
  </r>
  <r>
    <n v="138"/>
    <x v="5"/>
    <n v="1"/>
    <n v="0"/>
    <n v="1"/>
    <x v="23"/>
    <b v="0"/>
    <n v="0"/>
    <x v="5"/>
    <x v="1"/>
    <n v="0.2"/>
  </r>
  <r>
    <n v="139"/>
    <x v="6"/>
    <n v="1"/>
    <n v="0"/>
    <n v="1"/>
    <x v="0"/>
    <b v="0"/>
    <n v="0"/>
    <x v="6"/>
    <x v="1"/>
    <n v="0.2"/>
  </r>
  <r>
    <n v="140"/>
    <x v="6"/>
    <n v="1"/>
    <n v="0"/>
    <n v="1"/>
    <x v="1"/>
    <b v="0"/>
    <n v="0"/>
    <x v="6"/>
    <x v="1"/>
    <n v="0.2"/>
  </r>
  <r>
    <n v="141"/>
    <x v="6"/>
    <n v="1"/>
    <n v="0"/>
    <n v="1"/>
    <x v="2"/>
    <b v="0"/>
    <n v="0"/>
    <x v="6"/>
    <x v="1"/>
    <n v="0.2"/>
  </r>
  <r>
    <n v="142"/>
    <x v="6"/>
    <n v="1"/>
    <n v="0"/>
    <n v="1"/>
    <x v="4"/>
    <b v="0"/>
    <n v="0"/>
    <x v="6"/>
    <x v="1"/>
    <n v="0.2"/>
  </r>
  <r>
    <n v="143"/>
    <x v="6"/>
    <n v="1"/>
    <n v="0"/>
    <n v="1"/>
    <x v="5"/>
    <b v="0"/>
    <n v="0"/>
    <x v="6"/>
    <x v="2"/>
    <n v="0.22"/>
  </r>
  <r>
    <n v="144"/>
    <x v="6"/>
    <n v="1"/>
    <n v="0"/>
    <n v="1"/>
    <x v="6"/>
    <b v="0"/>
    <n v="0"/>
    <x v="6"/>
    <x v="1"/>
    <n v="0.2"/>
  </r>
  <r>
    <n v="145"/>
    <x v="6"/>
    <n v="1"/>
    <n v="0"/>
    <n v="1"/>
    <x v="7"/>
    <b v="0"/>
    <n v="0"/>
    <x v="6"/>
    <x v="0"/>
    <n v="0.2"/>
  </r>
  <r>
    <n v="146"/>
    <x v="6"/>
    <n v="1"/>
    <n v="0"/>
    <n v="1"/>
    <x v="8"/>
    <b v="0"/>
    <n v="0"/>
    <x v="6"/>
    <x v="0"/>
    <n v="0.2"/>
  </r>
  <r>
    <n v="147"/>
    <x v="6"/>
    <n v="1"/>
    <n v="0"/>
    <n v="1"/>
    <x v="9"/>
    <b v="0"/>
    <n v="0"/>
    <x v="6"/>
    <x v="0"/>
    <n v="0.2"/>
  </r>
  <r>
    <n v="148"/>
    <x v="6"/>
    <n v="1"/>
    <n v="0"/>
    <n v="1"/>
    <x v="10"/>
    <b v="0"/>
    <n v="0"/>
    <x v="6"/>
    <x v="0"/>
    <n v="0.22"/>
  </r>
  <r>
    <n v="149"/>
    <x v="6"/>
    <n v="1"/>
    <n v="0"/>
    <n v="1"/>
    <x v="11"/>
    <b v="0"/>
    <n v="0"/>
    <x v="6"/>
    <x v="1"/>
    <n v="0.2"/>
  </r>
  <r>
    <n v="150"/>
    <x v="6"/>
    <n v="1"/>
    <n v="0"/>
    <n v="1"/>
    <x v="12"/>
    <b v="0"/>
    <n v="0"/>
    <x v="6"/>
    <x v="1"/>
    <n v="0.2"/>
  </r>
  <r>
    <n v="151"/>
    <x v="6"/>
    <n v="1"/>
    <n v="0"/>
    <n v="1"/>
    <x v="13"/>
    <b v="0"/>
    <n v="0"/>
    <x v="6"/>
    <x v="1"/>
    <n v="0.2"/>
  </r>
  <r>
    <n v="152"/>
    <x v="6"/>
    <n v="1"/>
    <n v="0"/>
    <n v="1"/>
    <x v="14"/>
    <b v="0"/>
    <n v="0"/>
    <x v="6"/>
    <x v="1"/>
    <n v="0.2"/>
  </r>
  <r>
    <n v="153"/>
    <x v="6"/>
    <n v="1"/>
    <n v="0"/>
    <n v="1"/>
    <x v="15"/>
    <b v="0"/>
    <n v="0"/>
    <x v="6"/>
    <x v="1"/>
    <n v="0.2"/>
  </r>
  <r>
    <n v="154"/>
    <x v="6"/>
    <n v="1"/>
    <n v="0"/>
    <n v="1"/>
    <x v="16"/>
    <b v="0"/>
    <n v="0"/>
    <x v="6"/>
    <x v="1"/>
    <n v="0.2"/>
  </r>
  <r>
    <n v="155"/>
    <x v="6"/>
    <n v="1"/>
    <n v="0"/>
    <n v="1"/>
    <x v="17"/>
    <b v="0"/>
    <n v="0"/>
    <x v="6"/>
    <x v="1"/>
    <n v="0.2"/>
  </r>
  <r>
    <n v="156"/>
    <x v="6"/>
    <n v="1"/>
    <n v="0"/>
    <n v="1"/>
    <x v="18"/>
    <b v="0"/>
    <n v="0"/>
    <x v="6"/>
    <x v="0"/>
    <n v="0.2"/>
  </r>
  <r>
    <n v="157"/>
    <x v="6"/>
    <n v="1"/>
    <n v="0"/>
    <n v="1"/>
    <x v="19"/>
    <b v="0"/>
    <n v="0"/>
    <x v="6"/>
    <x v="0"/>
    <n v="0.16"/>
  </r>
  <r>
    <n v="158"/>
    <x v="6"/>
    <n v="1"/>
    <n v="0"/>
    <n v="1"/>
    <x v="20"/>
    <b v="0"/>
    <n v="0"/>
    <x v="6"/>
    <x v="0"/>
    <n v="0.18"/>
  </r>
  <r>
    <n v="159"/>
    <x v="6"/>
    <n v="1"/>
    <n v="0"/>
    <n v="1"/>
    <x v="21"/>
    <b v="0"/>
    <n v="0"/>
    <x v="6"/>
    <x v="0"/>
    <n v="0.18"/>
  </r>
  <r>
    <n v="160"/>
    <x v="6"/>
    <n v="1"/>
    <n v="0"/>
    <n v="1"/>
    <x v="22"/>
    <b v="0"/>
    <n v="0"/>
    <x v="6"/>
    <x v="1"/>
    <n v="0.18"/>
  </r>
  <r>
    <n v="161"/>
    <x v="6"/>
    <n v="1"/>
    <n v="0"/>
    <n v="1"/>
    <x v="23"/>
    <b v="0"/>
    <n v="0"/>
    <x v="6"/>
    <x v="1"/>
    <n v="0.18"/>
  </r>
  <r>
    <n v="162"/>
    <x v="7"/>
    <n v="1"/>
    <n v="0"/>
    <n v="1"/>
    <x v="0"/>
    <b v="0"/>
    <n v="0"/>
    <x v="0"/>
    <x v="1"/>
    <n v="0.18"/>
  </r>
  <r>
    <n v="163"/>
    <x v="7"/>
    <n v="1"/>
    <n v="0"/>
    <n v="1"/>
    <x v="1"/>
    <b v="0"/>
    <n v="0"/>
    <x v="0"/>
    <x v="1"/>
    <n v="0.18"/>
  </r>
  <r>
    <n v="164"/>
    <x v="7"/>
    <n v="1"/>
    <n v="0"/>
    <n v="1"/>
    <x v="2"/>
    <b v="0"/>
    <n v="0"/>
    <x v="0"/>
    <x v="1"/>
    <n v="0.18"/>
  </r>
  <r>
    <n v="165"/>
    <x v="7"/>
    <n v="1"/>
    <n v="0"/>
    <n v="1"/>
    <x v="3"/>
    <b v="0"/>
    <n v="0"/>
    <x v="0"/>
    <x v="2"/>
    <n v="0.18"/>
  </r>
  <r>
    <n v="166"/>
    <x v="7"/>
    <n v="1"/>
    <n v="0"/>
    <n v="1"/>
    <x v="4"/>
    <b v="0"/>
    <n v="0"/>
    <x v="0"/>
    <x v="2"/>
    <n v="0.18"/>
  </r>
  <r>
    <n v="167"/>
    <x v="7"/>
    <n v="1"/>
    <n v="0"/>
    <n v="1"/>
    <x v="5"/>
    <b v="0"/>
    <n v="0"/>
    <x v="0"/>
    <x v="1"/>
    <n v="0.16"/>
  </r>
  <r>
    <n v="168"/>
    <x v="7"/>
    <n v="1"/>
    <n v="0"/>
    <n v="1"/>
    <x v="6"/>
    <b v="0"/>
    <n v="0"/>
    <x v="0"/>
    <x v="1"/>
    <n v="0.16"/>
  </r>
  <r>
    <n v="169"/>
    <x v="7"/>
    <n v="1"/>
    <n v="0"/>
    <n v="1"/>
    <x v="7"/>
    <b v="0"/>
    <n v="0"/>
    <x v="0"/>
    <x v="1"/>
    <n v="0.16"/>
  </r>
  <r>
    <n v="170"/>
    <x v="7"/>
    <n v="1"/>
    <n v="0"/>
    <n v="1"/>
    <x v="8"/>
    <b v="0"/>
    <n v="0"/>
    <x v="0"/>
    <x v="2"/>
    <n v="0.16"/>
  </r>
  <r>
    <n v="171"/>
    <x v="7"/>
    <n v="1"/>
    <n v="0"/>
    <n v="1"/>
    <x v="9"/>
    <b v="0"/>
    <n v="0"/>
    <x v="0"/>
    <x v="2"/>
    <n v="0.16"/>
  </r>
  <r>
    <n v="172"/>
    <x v="7"/>
    <n v="1"/>
    <n v="0"/>
    <n v="1"/>
    <x v="10"/>
    <b v="0"/>
    <n v="0"/>
    <x v="0"/>
    <x v="1"/>
    <n v="0.18"/>
  </r>
  <r>
    <n v="173"/>
    <x v="7"/>
    <n v="1"/>
    <n v="0"/>
    <n v="1"/>
    <x v="11"/>
    <b v="0"/>
    <n v="0"/>
    <x v="0"/>
    <x v="1"/>
    <n v="0.2"/>
  </r>
  <r>
    <n v="174"/>
    <x v="7"/>
    <n v="1"/>
    <n v="0"/>
    <n v="1"/>
    <x v="12"/>
    <b v="0"/>
    <n v="0"/>
    <x v="0"/>
    <x v="1"/>
    <n v="0.2"/>
  </r>
  <r>
    <n v="175"/>
    <x v="7"/>
    <n v="1"/>
    <n v="0"/>
    <n v="1"/>
    <x v="13"/>
    <b v="0"/>
    <n v="0"/>
    <x v="0"/>
    <x v="0"/>
    <n v="0.2"/>
  </r>
  <r>
    <n v="176"/>
    <x v="7"/>
    <n v="1"/>
    <n v="0"/>
    <n v="1"/>
    <x v="14"/>
    <b v="0"/>
    <n v="0"/>
    <x v="0"/>
    <x v="0"/>
    <n v="0.2"/>
  </r>
  <r>
    <n v="177"/>
    <x v="7"/>
    <n v="1"/>
    <n v="0"/>
    <n v="1"/>
    <x v="15"/>
    <b v="0"/>
    <n v="0"/>
    <x v="0"/>
    <x v="0"/>
    <n v="0.2"/>
  </r>
  <r>
    <n v="178"/>
    <x v="7"/>
    <n v="1"/>
    <n v="0"/>
    <n v="1"/>
    <x v="16"/>
    <b v="0"/>
    <n v="0"/>
    <x v="0"/>
    <x v="0"/>
    <n v="0.18"/>
  </r>
  <r>
    <n v="179"/>
    <x v="7"/>
    <n v="1"/>
    <n v="0"/>
    <n v="1"/>
    <x v="17"/>
    <b v="0"/>
    <n v="0"/>
    <x v="0"/>
    <x v="0"/>
    <n v="0.16"/>
  </r>
  <r>
    <n v="180"/>
    <x v="7"/>
    <n v="1"/>
    <n v="0"/>
    <n v="1"/>
    <x v="18"/>
    <b v="0"/>
    <n v="0"/>
    <x v="0"/>
    <x v="0"/>
    <n v="0.14000000000000001"/>
  </r>
  <r>
    <n v="181"/>
    <x v="7"/>
    <n v="1"/>
    <n v="0"/>
    <n v="1"/>
    <x v="19"/>
    <b v="0"/>
    <n v="0"/>
    <x v="0"/>
    <x v="0"/>
    <n v="0.14000000000000001"/>
  </r>
  <r>
    <n v="182"/>
    <x v="7"/>
    <n v="1"/>
    <n v="0"/>
    <n v="1"/>
    <x v="20"/>
    <b v="0"/>
    <n v="0"/>
    <x v="0"/>
    <x v="0"/>
    <n v="0.12"/>
  </r>
  <r>
    <n v="183"/>
    <x v="7"/>
    <n v="1"/>
    <n v="0"/>
    <n v="1"/>
    <x v="21"/>
    <b v="0"/>
    <n v="0"/>
    <x v="0"/>
    <x v="0"/>
    <n v="0.12"/>
  </r>
  <r>
    <n v="184"/>
    <x v="7"/>
    <n v="1"/>
    <n v="0"/>
    <n v="1"/>
    <x v="22"/>
    <b v="0"/>
    <n v="0"/>
    <x v="0"/>
    <x v="0"/>
    <n v="0.12"/>
  </r>
  <r>
    <n v="185"/>
    <x v="7"/>
    <n v="1"/>
    <n v="0"/>
    <n v="1"/>
    <x v="23"/>
    <b v="0"/>
    <n v="0"/>
    <x v="0"/>
    <x v="0"/>
    <n v="0.1"/>
  </r>
  <r>
    <n v="186"/>
    <x v="8"/>
    <n v="1"/>
    <n v="0"/>
    <n v="1"/>
    <x v="0"/>
    <b v="0"/>
    <n v="0"/>
    <x v="1"/>
    <x v="0"/>
    <n v="0.1"/>
  </r>
  <r>
    <n v="187"/>
    <x v="8"/>
    <n v="1"/>
    <n v="0"/>
    <n v="1"/>
    <x v="1"/>
    <b v="0"/>
    <n v="0"/>
    <x v="1"/>
    <x v="0"/>
    <n v="0.1"/>
  </r>
  <r>
    <n v="188"/>
    <x v="8"/>
    <n v="1"/>
    <n v="0"/>
    <n v="1"/>
    <x v="2"/>
    <b v="0"/>
    <n v="0"/>
    <x v="1"/>
    <x v="0"/>
    <n v="0.1"/>
  </r>
  <r>
    <n v="189"/>
    <x v="8"/>
    <n v="1"/>
    <n v="0"/>
    <n v="1"/>
    <x v="3"/>
    <b v="0"/>
    <n v="0"/>
    <x v="1"/>
    <x v="0"/>
    <n v="0.1"/>
  </r>
  <r>
    <n v="190"/>
    <x v="8"/>
    <n v="1"/>
    <n v="0"/>
    <n v="1"/>
    <x v="4"/>
    <b v="0"/>
    <n v="0"/>
    <x v="1"/>
    <x v="0"/>
    <n v="0.08"/>
  </r>
  <r>
    <n v="191"/>
    <x v="8"/>
    <n v="1"/>
    <n v="0"/>
    <n v="1"/>
    <x v="5"/>
    <b v="0"/>
    <n v="0"/>
    <x v="1"/>
    <x v="0"/>
    <n v="0.08"/>
  </r>
  <r>
    <n v="192"/>
    <x v="8"/>
    <n v="1"/>
    <n v="0"/>
    <n v="1"/>
    <x v="6"/>
    <b v="0"/>
    <n v="0"/>
    <x v="1"/>
    <x v="0"/>
    <n v="0.1"/>
  </r>
  <r>
    <n v="193"/>
    <x v="8"/>
    <n v="1"/>
    <n v="0"/>
    <n v="1"/>
    <x v="7"/>
    <b v="0"/>
    <n v="0"/>
    <x v="1"/>
    <x v="0"/>
    <n v="0.08"/>
  </r>
  <r>
    <n v="194"/>
    <x v="8"/>
    <n v="1"/>
    <n v="0"/>
    <n v="1"/>
    <x v="8"/>
    <b v="0"/>
    <n v="0"/>
    <x v="1"/>
    <x v="0"/>
    <n v="0.1"/>
  </r>
  <r>
    <n v="195"/>
    <x v="8"/>
    <n v="1"/>
    <n v="0"/>
    <n v="1"/>
    <x v="9"/>
    <b v="0"/>
    <n v="0"/>
    <x v="1"/>
    <x v="0"/>
    <n v="0.12"/>
  </r>
  <r>
    <n v="196"/>
    <x v="8"/>
    <n v="1"/>
    <n v="0"/>
    <n v="1"/>
    <x v="10"/>
    <b v="0"/>
    <n v="0"/>
    <x v="1"/>
    <x v="0"/>
    <n v="0.14000000000000001"/>
  </r>
  <r>
    <n v="197"/>
    <x v="8"/>
    <n v="1"/>
    <n v="0"/>
    <n v="1"/>
    <x v="11"/>
    <b v="0"/>
    <n v="0"/>
    <x v="1"/>
    <x v="0"/>
    <n v="0.16"/>
  </r>
  <r>
    <n v="198"/>
    <x v="8"/>
    <n v="1"/>
    <n v="0"/>
    <n v="1"/>
    <x v="12"/>
    <b v="0"/>
    <n v="0"/>
    <x v="1"/>
    <x v="0"/>
    <n v="0.18"/>
  </r>
  <r>
    <n v="199"/>
    <x v="8"/>
    <n v="1"/>
    <n v="0"/>
    <n v="1"/>
    <x v="13"/>
    <b v="0"/>
    <n v="0"/>
    <x v="1"/>
    <x v="0"/>
    <n v="0.2"/>
  </r>
  <r>
    <n v="200"/>
    <x v="8"/>
    <n v="1"/>
    <n v="0"/>
    <n v="1"/>
    <x v="14"/>
    <b v="0"/>
    <n v="0"/>
    <x v="1"/>
    <x v="0"/>
    <n v="0.22"/>
  </r>
  <r>
    <n v="201"/>
    <x v="8"/>
    <n v="1"/>
    <n v="0"/>
    <n v="1"/>
    <x v="15"/>
    <b v="0"/>
    <n v="0"/>
    <x v="1"/>
    <x v="0"/>
    <n v="0.22"/>
  </r>
  <r>
    <n v="202"/>
    <x v="8"/>
    <n v="1"/>
    <n v="0"/>
    <n v="1"/>
    <x v="16"/>
    <b v="0"/>
    <n v="0"/>
    <x v="1"/>
    <x v="0"/>
    <n v="0.2"/>
  </r>
  <r>
    <n v="203"/>
    <x v="8"/>
    <n v="1"/>
    <n v="0"/>
    <n v="1"/>
    <x v="17"/>
    <b v="0"/>
    <n v="0"/>
    <x v="1"/>
    <x v="0"/>
    <n v="0.18"/>
  </r>
  <r>
    <n v="204"/>
    <x v="8"/>
    <n v="1"/>
    <n v="0"/>
    <n v="1"/>
    <x v="18"/>
    <b v="0"/>
    <n v="0"/>
    <x v="1"/>
    <x v="0"/>
    <n v="0.16"/>
  </r>
  <r>
    <n v="205"/>
    <x v="8"/>
    <n v="1"/>
    <n v="0"/>
    <n v="1"/>
    <x v="19"/>
    <b v="0"/>
    <n v="0"/>
    <x v="1"/>
    <x v="0"/>
    <n v="0.16"/>
  </r>
  <r>
    <n v="206"/>
    <x v="8"/>
    <n v="1"/>
    <n v="0"/>
    <n v="1"/>
    <x v="20"/>
    <b v="0"/>
    <n v="0"/>
    <x v="1"/>
    <x v="0"/>
    <n v="0.14000000000000001"/>
  </r>
  <r>
    <n v="207"/>
    <x v="8"/>
    <n v="1"/>
    <n v="0"/>
    <n v="1"/>
    <x v="21"/>
    <b v="0"/>
    <n v="0"/>
    <x v="1"/>
    <x v="0"/>
    <n v="0.14000000000000001"/>
  </r>
  <r>
    <n v="208"/>
    <x v="8"/>
    <n v="1"/>
    <n v="0"/>
    <n v="1"/>
    <x v="22"/>
    <b v="0"/>
    <n v="0"/>
    <x v="1"/>
    <x v="0"/>
    <n v="0.14000000000000001"/>
  </r>
  <r>
    <n v="209"/>
    <x v="8"/>
    <n v="1"/>
    <n v="0"/>
    <n v="1"/>
    <x v="23"/>
    <b v="0"/>
    <n v="0"/>
    <x v="1"/>
    <x v="0"/>
    <n v="0.12"/>
  </r>
  <r>
    <n v="210"/>
    <x v="9"/>
    <n v="1"/>
    <n v="0"/>
    <n v="1"/>
    <x v="0"/>
    <b v="0"/>
    <n v="0"/>
    <x v="2"/>
    <x v="0"/>
    <n v="0.12"/>
  </r>
  <r>
    <n v="211"/>
    <x v="9"/>
    <n v="1"/>
    <n v="0"/>
    <n v="1"/>
    <x v="1"/>
    <b v="0"/>
    <n v="0"/>
    <x v="2"/>
    <x v="0"/>
    <n v="0.12"/>
  </r>
  <r>
    <n v="212"/>
    <x v="9"/>
    <n v="1"/>
    <n v="0"/>
    <n v="1"/>
    <x v="2"/>
    <b v="0"/>
    <n v="0"/>
    <x v="2"/>
    <x v="0"/>
    <n v="0.12"/>
  </r>
  <r>
    <n v="213"/>
    <x v="9"/>
    <n v="1"/>
    <n v="0"/>
    <n v="1"/>
    <x v="3"/>
    <b v="0"/>
    <n v="0"/>
    <x v="2"/>
    <x v="0"/>
    <n v="0.12"/>
  </r>
  <r>
    <n v="214"/>
    <x v="9"/>
    <n v="1"/>
    <n v="0"/>
    <n v="1"/>
    <x v="4"/>
    <b v="0"/>
    <n v="0"/>
    <x v="2"/>
    <x v="0"/>
    <n v="0.1"/>
  </r>
  <r>
    <n v="215"/>
    <x v="9"/>
    <n v="1"/>
    <n v="0"/>
    <n v="1"/>
    <x v="5"/>
    <b v="0"/>
    <n v="0"/>
    <x v="2"/>
    <x v="0"/>
    <n v="0.1"/>
  </r>
  <r>
    <n v="216"/>
    <x v="9"/>
    <n v="1"/>
    <n v="0"/>
    <n v="1"/>
    <x v="6"/>
    <b v="0"/>
    <n v="0"/>
    <x v="2"/>
    <x v="0"/>
    <n v="0.12"/>
  </r>
  <r>
    <n v="217"/>
    <x v="9"/>
    <n v="1"/>
    <n v="0"/>
    <n v="1"/>
    <x v="7"/>
    <b v="0"/>
    <n v="0"/>
    <x v="2"/>
    <x v="0"/>
    <n v="0.12"/>
  </r>
  <r>
    <n v="218"/>
    <x v="9"/>
    <n v="1"/>
    <n v="0"/>
    <n v="1"/>
    <x v="8"/>
    <b v="0"/>
    <n v="0"/>
    <x v="2"/>
    <x v="1"/>
    <n v="0.12"/>
  </r>
  <r>
    <n v="219"/>
    <x v="9"/>
    <n v="1"/>
    <n v="0"/>
    <n v="1"/>
    <x v="9"/>
    <b v="0"/>
    <n v="0"/>
    <x v="2"/>
    <x v="1"/>
    <n v="0.14000000000000001"/>
  </r>
  <r>
    <n v="220"/>
    <x v="9"/>
    <n v="1"/>
    <n v="0"/>
    <n v="1"/>
    <x v="10"/>
    <b v="0"/>
    <n v="0"/>
    <x v="2"/>
    <x v="1"/>
    <n v="0.14000000000000001"/>
  </r>
  <r>
    <n v="221"/>
    <x v="9"/>
    <n v="1"/>
    <n v="0"/>
    <n v="1"/>
    <x v="11"/>
    <b v="0"/>
    <n v="0"/>
    <x v="2"/>
    <x v="1"/>
    <n v="0.16"/>
  </r>
  <r>
    <n v="222"/>
    <x v="9"/>
    <n v="1"/>
    <n v="0"/>
    <n v="1"/>
    <x v="12"/>
    <b v="0"/>
    <n v="0"/>
    <x v="2"/>
    <x v="1"/>
    <n v="0.2"/>
  </r>
  <r>
    <n v="223"/>
    <x v="9"/>
    <n v="1"/>
    <n v="0"/>
    <n v="1"/>
    <x v="13"/>
    <b v="0"/>
    <n v="0"/>
    <x v="2"/>
    <x v="1"/>
    <n v="0.2"/>
  </r>
  <r>
    <n v="224"/>
    <x v="9"/>
    <n v="1"/>
    <n v="0"/>
    <n v="1"/>
    <x v="14"/>
    <b v="0"/>
    <n v="0"/>
    <x v="2"/>
    <x v="1"/>
    <n v="0.2"/>
  </r>
  <r>
    <n v="225"/>
    <x v="9"/>
    <n v="1"/>
    <n v="0"/>
    <n v="1"/>
    <x v="15"/>
    <b v="0"/>
    <n v="0"/>
    <x v="2"/>
    <x v="1"/>
    <n v="0.2"/>
  </r>
  <r>
    <n v="226"/>
    <x v="9"/>
    <n v="1"/>
    <n v="0"/>
    <n v="1"/>
    <x v="16"/>
    <b v="0"/>
    <n v="0"/>
    <x v="2"/>
    <x v="0"/>
    <n v="0.2"/>
  </r>
  <r>
    <n v="227"/>
    <x v="9"/>
    <n v="1"/>
    <n v="0"/>
    <n v="1"/>
    <x v="17"/>
    <b v="0"/>
    <n v="0"/>
    <x v="2"/>
    <x v="0"/>
    <n v="0.2"/>
  </r>
  <r>
    <n v="228"/>
    <x v="9"/>
    <n v="1"/>
    <n v="0"/>
    <n v="1"/>
    <x v="18"/>
    <b v="0"/>
    <n v="0"/>
    <x v="2"/>
    <x v="0"/>
    <n v="0.2"/>
  </r>
  <r>
    <n v="229"/>
    <x v="9"/>
    <n v="1"/>
    <n v="0"/>
    <n v="1"/>
    <x v="19"/>
    <b v="0"/>
    <n v="0"/>
    <x v="2"/>
    <x v="0"/>
    <n v="0.16"/>
  </r>
  <r>
    <n v="230"/>
    <x v="9"/>
    <n v="1"/>
    <n v="0"/>
    <n v="1"/>
    <x v="20"/>
    <b v="0"/>
    <n v="0"/>
    <x v="2"/>
    <x v="0"/>
    <n v="0.16"/>
  </r>
  <r>
    <n v="231"/>
    <x v="9"/>
    <n v="1"/>
    <n v="0"/>
    <n v="1"/>
    <x v="21"/>
    <b v="0"/>
    <n v="0"/>
    <x v="2"/>
    <x v="0"/>
    <n v="0.14000000000000001"/>
  </r>
  <r>
    <n v="232"/>
    <x v="9"/>
    <n v="1"/>
    <n v="0"/>
    <n v="1"/>
    <x v="22"/>
    <b v="0"/>
    <n v="0"/>
    <x v="2"/>
    <x v="0"/>
    <n v="0.14000000000000001"/>
  </r>
  <r>
    <n v="233"/>
    <x v="9"/>
    <n v="1"/>
    <n v="0"/>
    <n v="1"/>
    <x v="23"/>
    <b v="0"/>
    <n v="0"/>
    <x v="2"/>
    <x v="0"/>
    <n v="0.14000000000000001"/>
  </r>
  <r>
    <n v="234"/>
    <x v="10"/>
    <n v="1"/>
    <n v="0"/>
    <n v="1"/>
    <x v="0"/>
    <b v="0"/>
    <n v="0"/>
    <x v="3"/>
    <x v="0"/>
    <n v="0.14000000000000001"/>
  </r>
  <r>
    <n v="235"/>
    <x v="10"/>
    <n v="1"/>
    <n v="0"/>
    <n v="1"/>
    <x v="1"/>
    <b v="0"/>
    <n v="0"/>
    <x v="3"/>
    <x v="0"/>
    <n v="0.14000000000000001"/>
  </r>
  <r>
    <n v="236"/>
    <x v="10"/>
    <n v="1"/>
    <n v="0"/>
    <n v="1"/>
    <x v="2"/>
    <b v="0"/>
    <n v="0"/>
    <x v="3"/>
    <x v="1"/>
    <n v="0.16"/>
  </r>
  <r>
    <n v="237"/>
    <x v="10"/>
    <n v="1"/>
    <n v="0"/>
    <n v="1"/>
    <x v="5"/>
    <b v="0"/>
    <n v="0"/>
    <x v="3"/>
    <x v="1"/>
    <n v="0.16"/>
  </r>
  <r>
    <n v="238"/>
    <x v="10"/>
    <n v="1"/>
    <n v="0"/>
    <n v="1"/>
    <x v="6"/>
    <b v="0"/>
    <n v="0"/>
    <x v="3"/>
    <x v="1"/>
    <n v="0.16"/>
  </r>
  <r>
    <n v="239"/>
    <x v="10"/>
    <n v="1"/>
    <n v="0"/>
    <n v="1"/>
    <x v="7"/>
    <b v="0"/>
    <n v="0"/>
    <x v="3"/>
    <x v="1"/>
    <n v="0.16"/>
  </r>
  <r>
    <n v="240"/>
    <x v="10"/>
    <n v="1"/>
    <n v="0"/>
    <n v="1"/>
    <x v="8"/>
    <b v="0"/>
    <n v="0"/>
    <x v="3"/>
    <x v="1"/>
    <n v="0.18"/>
  </r>
  <r>
    <n v="241"/>
    <x v="10"/>
    <n v="1"/>
    <n v="0"/>
    <n v="1"/>
    <x v="9"/>
    <b v="0"/>
    <n v="0"/>
    <x v="3"/>
    <x v="1"/>
    <n v="0.18"/>
  </r>
  <r>
    <n v="242"/>
    <x v="10"/>
    <n v="1"/>
    <n v="0"/>
    <n v="1"/>
    <x v="10"/>
    <b v="0"/>
    <n v="0"/>
    <x v="3"/>
    <x v="1"/>
    <n v="0.2"/>
  </r>
  <r>
    <n v="243"/>
    <x v="10"/>
    <n v="1"/>
    <n v="0"/>
    <n v="1"/>
    <x v="11"/>
    <b v="0"/>
    <n v="0"/>
    <x v="3"/>
    <x v="1"/>
    <n v="0.2"/>
  </r>
  <r>
    <n v="244"/>
    <x v="10"/>
    <n v="1"/>
    <n v="0"/>
    <n v="1"/>
    <x v="12"/>
    <b v="0"/>
    <n v="0"/>
    <x v="3"/>
    <x v="1"/>
    <n v="0.2"/>
  </r>
  <r>
    <n v="245"/>
    <x v="10"/>
    <n v="1"/>
    <n v="0"/>
    <n v="1"/>
    <x v="13"/>
    <b v="0"/>
    <n v="0"/>
    <x v="3"/>
    <x v="1"/>
    <n v="0.2"/>
  </r>
  <r>
    <n v="246"/>
    <x v="10"/>
    <n v="1"/>
    <n v="0"/>
    <n v="1"/>
    <x v="14"/>
    <b v="0"/>
    <n v="0"/>
    <x v="3"/>
    <x v="1"/>
    <n v="0.2"/>
  </r>
  <r>
    <n v="247"/>
    <x v="10"/>
    <n v="1"/>
    <n v="0"/>
    <n v="1"/>
    <x v="15"/>
    <b v="0"/>
    <n v="0"/>
    <x v="3"/>
    <x v="1"/>
    <n v="0.16"/>
  </r>
  <r>
    <n v="248"/>
    <x v="10"/>
    <n v="1"/>
    <n v="0"/>
    <n v="1"/>
    <x v="16"/>
    <b v="0"/>
    <n v="0"/>
    <x v="3"/>
    <x v="1"/>
    <n v="0.16"/>
  </r>
  <r>
    <n v="249"/>
    <x v="10"/>
    <n v="1"/>
    <n v="0"/>
    <n v="1"/>
    <x v="17"/>
    <b v="0"/>
    <n v="0"/>
    <x v="3"/>
    <x v="1"/>
    <n v="0.16"/>
  </r>
  <r>
    <n v="250"/>
    <x v="10"/>
    <n v="1"/>
    <n v="0"/>
    <n v="1"/>
    <x v="18"/>
    <b v="0"/>
    <n v="0"/>
    <x v="3"/>
    <x v="2"/>
    <n v="0.16"/>
  </r>
  <r>
    <n v="251"/>
    <x v="10"/>
    <n v="1"/>
    <n v="0"/>
    <n v="1"/>
    <x v="19"/>
    <b v="0"/>
    <n v="0"/>
    <x v="3"/>
    <x v="2"/>
    <n v="0.16"/>
  </r>
  <r>
    <n v="252"/>
    <x v="10"/>
    <n v="1"/>
    <n v="0"/>
    <n v="1"/>
    <x v="20"/>
    <b v="0"/>
    <n v="0"/>
    <x v="3"/>
    <x v="2"/>
    <n v="0.16"/>
  </r>
  <r>
    <n v="253"/>
    <x v="10"/>
    <n v="1"/>
    <n v="0"/>
    <n v="1"/>
    <x v="21"/>
    <b v="0"/>
    <n v="0"/>
    <x v="3"/>
    <x v="2"/>
    <n v="0.16"/>
  </r>
  <r>
    <n v="254"/>
    <x v="10"/>
    <n v="1"/>
    <n v="0"/>
    <n v="1"/>
    <x v="22"/>
    <b v="0"/>
    <n v="0"/>
    <x v="3"/>
    <x v="2"/>
    <n v="0.16"/>
  </r>
  <r>
    <n v="255"/>
    <x v="10"/>
    <n v="1"/>
    <n v="0"/>
    <n v="1"/>
    <x v="23"/>
    <b v="0"/>
    <n v="0"/>
    <x v="3"/>
    <x v="2"/>
    <n v="0.16"/>
  </r>
  <r>
    <n v="256"/>
    <x v="11"/>
    <n v="1"/>
    <n v="0"/>
    <n v="1"/>
    <x v="0"/>
    <b v="0"/>
    <n v="0"/>
    <x v="4"/>
    <x v="1"/>
    <n v="0.16"/>
  </r>
  <r>
    <n v="257"/>
    <x v="11"/>
    <n v="1"/>
    <n v="0"/>
    <n v="1"/>
    <x v="1"/>
    <b v="0"/>
    <n v="0"/>
    <x v="4"/>
    <x v="1"/>
    <n v="0.16"/>
  </r>
  <r>
    <n v="258"/>
    <x v="11"/>
    <n v="1"/>
    <n v="0"/>
    <n v="1"/>
    <x v="2"/>
    <b v="0"/>
    <n v="0"/>
    <x v="4"/>
    <x v="0"/>
    <n v="0.14000000000000001"/>
  </r>
  <r>
    <n v="259"/>
    <x v="11"/>
    <n v="1"/>
    <n v="0"/>
    <n v="1"/>
    <x v="5"/>
    <b v="0"/>
    <n v="0"/>
    <x v="4"/>
    <x v="0"/>
    <n v="0.14000000000000001"/>
  </r>
  <r>
    <n v="260"/>
    <x v="11"/>
    <n v="1"/>
    <n v="0"/>
    <n v="1"/>
    <x v="6"/>
    <b v="0"/>
    <n v="0"/>
    <x v="4"/>
    <x v="0"/>
    <n v="0.12"/>
  </r>
  <r>
    <n v="261"/>
    <x v="11"/>
    <n v="1"/>
    <n v="0"/>
    <n v="1"/>
    <x v="7"/>
    <b v="0"/>
    <n v="0"/>
    <x v="4"/>
    <x v="0"/>
    <n v="0.14000000000000001"/>
  </r>
  <r>
    <n v="262"/>
    <x v="11"/>
    <n v="1"/>
    <n v="0"/>
    <n v="1"/>
    <x v="8"/>
    <b v="0"/>
    <n v="0"/>
    <x v="4"/>
    <x v="0"/>
    <n v="0.16"/>
  </r>
  <r>
    <n v="263"/>
    <x v="11"/>
    <n v="1"/>
    <n v="0"/>
    <n v="1"/>
    <x v="9"/>
    <b v="0"/>
    <n v="0"/>
    <x v="4"/>
    <x v="0"/>
    <n v="0.16"/>
  </r>
  <r>
    <n v="264"/>
    <x v="11"/>
    <n v="1"/>
    <n v="0"/>
    <n v="1"/>
    <x v="10"/>
    <b v="0"/>
    <n v="0"/>
    <x v="4"/>
    <x v="0"/>
    <n v="0.18"/>
  </r>
  <r>
    <n v="265"/>
    <x v="11"/>
    <n v="1"/>
    <n v="0"/>
    <n v="1"/>
    <x v="11"/>
    <b v="0"/>
    <n v="0"/>
    <x v="4"/>
    <x v="0"/>
    <n v="0.2"/>
  </r>
  <r>
    <n v="266"/>
    <x v="11"/>
    <n v="1"/>
    <n v="0"/>
    <n v="1"/>
    <x v="12"/>
    <b v="0"/>
    <n v="0"/>
    <x v="4"/>
    <x v="0"/>
    <n v="0.2"/>
  </r>
  <r>
    <n v="267"/>
    <x v="11"/>
    <n v="1"/>
    <n v="0"/>
    <n v="1"/>
    <x v="13"/>
    <b v="0"/>
    <n v="0"/>
    <x v="4"/>
    <x v="0"/>
    <n v="0.22"/>
  </r>
  <r>
    <n v="268"/>
    <x v="11"/>
    <n v="1"/>
    <n v="0"/>
    <n v="1"/>
    <x v="14"/>
    <b v="0"/>
    <n v="0"/>
    <x v="4"/>
    <x v="0"/>
    <n v="0.2"/>
  </r>
  <r>
    <n v="269"/>
    <x v="11"/>
    <n v="1"/>
    <n v="0"/>
    <n v="1"/>
    <x v="15"/>
    <b v="0"/>
    <n v="0"/>
    <x v="4"/>
    <x v="0"/>
    <n v="0.2"/>
  </r>
  <r>
    <n v="270"/>
    <x v="11"/>
    <n v="1"/>
    <n v="0"/>
    <n v="1"/>
    <x v="16"/>
    <b v="0"/>
    <n v="0"/>
    <x v="4"/>
    <x v="0"/>
    <n v="0.22"/>
  </r>
  <r>
    <n v="271"/>
    <x v="11"/>
    <n v="1"/>
    <n v="0"/>
    <n v="1"/>
    <x v="17"/>
    <b v="0"/>
    <n v="0"/>
    <x v="4"/>
    <x v="0"/>
    <n v="0.2"/>
  </r>
  <r>
    <n v="272"/>
    <x v="11"/>
    <n v="1"/>
    <n v="0"/>
    <n v="1"/>
    <x v="18"/>
    <b v="0"/>
    <n v="0"/>
    <x v="4"/>
    <x v="0"/>
    <n v="0.2"/>
  </r>
  <r>
    <n v="273"/>
    <x v="11"/>
    <n v="1"/>
    <n v="0"/>
    <n v="1"/>
    <x v="19"/>
    <b v="0"/>
    <n v="0"/>
    <x v="4"/>
    <x v="0"/>
    <n v="0.18"/>
  </r>
  <r>
    <n v="274"/>
    <x v="11"/>
    <n v="1"/>
    <n v="0"/>
    <n v="1"/>
    <x v="20"/>
    <b v="0"/>
    <n v="0"/>
    <x v="4"/>
    <x v="0"/>
    <n v="0.16"/>
  </r>
  <r>
    <n v="275"/>
    <x v="11"/>
    <n v="1"/>
    <n v="0"/>
    <n v="1"/>
    <x v="21"/>
    <b v="0"/>
    <n v="0"/>
    <x v="4"/>
    <x v="0"/>
    <n v="0.16"/>
  </r>
  <r>
    <n v="276"/>
    <x v="11"/>
    <n v="1"/>
    <n v="0"/>
    <n v="1"/>
    <x v="22"/>
    <b v="0"/>
    <n v="0"/>
    <x v="4"/>
    <x v="0"/>
    <n v="0.16"/>
  </r>
  <r>
    <n v="277"/>
    <x v="11"/>
    <n v="1"/>
    <n v="0"/>
    <n v="1"/>
    <x v="23"/>
    <b v="0"/>
    <n v="0"/>
    <x v="4"/>
    <x v="0"/>
    <n v="0.14000000000000001"/>
  </r>
  <r>
    <n v="278"/>
    <x v="12"/>
    <n v="1"/>
    <n v="0"/>
    <n v="1"/>
    <x v="0"/>
    <b v="0"/>
    <n v="0"/>
    <x v="5"/>
    <x v="0"/>
    <n v="0.14000000000000001"/>
  </r>
  <r>
    <n v="279"/>
    <x v="12"/>
    <n v="1"/>
    <n v="0"/>
    <n v="1"/>
    <x v="1"/>
    <b v="0"/>
    <n v="0"/>
    <x v="5"/>
    <x v="0"/>
    <n v="0.14000000000000001"/>
  </r>
  <r>
    <n v="280"/>
    <x v="12"/>
    <n v="1"/>
    <n v="0"/>
    <n v="1"/>
    <x v="2"/>
    <b v="0"/>
    <n v="0"/>
    <x v="5"/>
    <x v="0"/>
    <n v="0.14000000000000001"/>
  </r>
  <r>
    <n v="281"/>
    <x v="12"/>
    <n v="1"/>
    <n v="0"/>
    <n v="1"/>
    <x v="3"/>
    <b v="0"/>
    <n v="0"/>
    <x v="5"/>
    <x v="0"/>
    <n v="0.14000000000000001"/>
  </r>
  <r>
    <n v="282"/>
    <x v="12"/>
    <n v="1"/>
    <n v="0"/>
    <n v="1"/>
    <x v="4"/>
    <b v="0"/>
    <n v="0"/>
    <x v="5"/>
    <x v="0"/>
    <n v="0.14000000000000001"/>
  </r>
  <r>
    <n v="283"/>
    <x v="12"/>
    <n v="1"/>
    <n v="0"/>
    <n v="1"/>
    <x v="5"/>
    <b v="0"/>
    <n v="0"/>
    <x v="5"/>
    <x v="0"/>
    <n v="0.14000000000000001"/>
  </r>
  <r>
    <n v="284"/>
    <x v="12"/>
    <n v="1"/>
    <n v="0"/>
    <n v="1"/>
    <x v="6"/>
    <b v="0"/>
    <n v="0"/>
    <x v="5"/>
    <x v="0"/>
    <n v="0.12"/>
  </r>
  <r>
    <n v="285"/>
    <x v="12"/>
    <n v="1"/>
    <n v="0"/>
    <n v="1"/>
    <x v="7"/>
    <b v="0"/>
    <n v="0"/>
    <x v="5"/>
    <x v="0"/>
    <n v="0.12"/>
  </r>
  <r>
    <n v="286"/>
    <x v="12"/>
    <n v="1"/>
    <n v="0"/>
    <n v="1"/>
    <x v="8"/>
    <b v="0"/>
    <n v="0"/>
    <x v="5"/>
    <x v="0"/>
    <n v="0.14000000000000001"/>
  </r>
  <r>
    <n v="287"/>
    <x v="12"/>
    <n v="1"/>
    <n v="0"/>
    <n v="1"/>
    <x v="9"/>
    <b v="0"/>
    <n v="0"/>
    <x v="5"/>
    <x v="0"/>
    <n v="0.14000000000000001"/>
  </r>
  <r>
    <n v="288"/>
    <x v="12"/>
    <n v="1"/>
    <n v="0"/>
    <n v="1"/>
    <x v="10"/>
    <b v="0"/>
    <n v="0"/>
    <x v="5"/>
    <x v="1"/>
    <n v="0.16"/>
  </r>
  <r>
    <n v="289"/>
    <x v="12"/>
    <n v="1"/>
    <n v="0"/>
    <n v="1"/>
    <x v="11"/>
    <b v="0"/>
    <n v="0"/>
    <x v="5"/>
    <x v="1"/>
    <n v="0.2"/>
  </r>
  <r>
    <n v="290"/>
    <x v="12"/>
    <n v="1"/>
    <n v="0"/>
    <n v="1"/>
    <x v="12"/>
    <b v="0"/>
    <n v="0"/>
    <x v="5"/>
    <x v="0"/>
    <n v="0.2"/>
  </r>
  <r>
    <n v="291"/>
    <x v="12"/>
    <n v="1"/>
    <n v="0"/>
    <n v="1"/>
    <x v="13"/>
    <b v="0"/>
    <n v="0"/>
    <x v="5"/>
    <x v="0"/>
    <n v="0.22"/>
  </r>
  <r>
    <n v="292"/>
    <x v="12"/>
    <n v="1"/>
    <n v="0"/>
    <n v="1"/>
    <x v="14"/>
    <b v="0"/>
    <n v="0"/>
    <x v="5"/>
    <x v="0"/>
    <n v="0.22"/>
  </r>
  <r>
    <n v="293"/>
    <x v="12"/>
    <n v="1"/>
    <n v="0"/>
    <n v="1"/>
    <x v="15"/>
    <b v="0"/>
    <n v="0"/>
    <x v="5"/>
    <x v="0"/>
    <n v="0.24"/>
  </r>
  <r>
    <n v="294"/>
    <x v="12"/>
    <n v="1"/>
    <n v="0"/>
    <n v="1"/>
    <x v="16"/>
    <b v="0"/>
    <n v="0"/>
    <x v="5"/>
    <x v="0"/>
    <n v="0.24"/>
  </r>
  <r>
    <n v="295"/>
    <x v="12"/>
    <n v="1"/>
    <n v="0"/>
    <n v="1"/>
    <x v="17"/>
    <b v="0"/>
    <n v="0"/>
    <x v="5"/>
    <x v="0"/>
    <n v="0.2"/>
  </r>
  <r>
    <n v="296"/>
    <x v="12"/>
    <n v="1"/>
    <n v="0"/>
    <n v="1"/>
    <x v="18"/>
    <b v="0"/>
    <n v="0"/>
    <x v="5"/>
    <x v="0"/>
    <n v="0.2"/>
  </r>
  <r>
    <n v="297"/>
    <x v="12"/>
    <n v="1"/>
    <n v="0"/>
    <n v="1"/>
    <x v="19"/>
    <b v="0"/>
    <n v="0"/>
    <x v="5"/>
    <x v="0"/>
    <n v="0.16"/>
  </r>
  <r>
    <n v="298"/>
    <x v="12"/>
    <n v="1"/>
    <n v="0"/>
    <n v="1"/>
    <x v="20"/>
    <b v="0"/>
    <n v="0"/>
    <x v="5"/>
    <x v="0"/>
    <n v="0.16"/>
  </r>
  <r>
    <n v="299"/>
    <x v="12"/>
    <n v="1"/>
    <n v="0"/>
    <n v="1"/>
    <x v="21"/>
    <b v="0"/>
    <n v="0"/>
    <x v="5"/>
    <x v="0"/>
    <n v="0.14000000000000001"/>
  </r>
  <r>
    <n v="300"/>
    <x v="12"/>
    <n v="1"/>
    <n v="0"/>
    <n v="1"/>
    <x v="22"/>
    <b v="0"/>
    <n v="0"/>
    <x v="5"/>
    <x v="0"/>
    <n v="0.14000000000000001"/>
  </r>
  <r>
    <n v="301"/>
    <x v="12"/>
    <n v="1"/>
    <n v="0"/>
    <n v="1"/>
    <x v="23"/>
    <b v="0"/>
    <n v="0"/>
    <x v="5"/>
    <x v="0"/>
    <n v="0.12"/>
  </r>
  <r>
    <n v="302"/>
    <x v="13"/>
    <n v="1"/>
    <n v="0"/>
    <n v="1"/>
    <x v="0"/>
    <b v="0"/>
    <n v="0"/>
    <x v="6"/>
    <x v="0"/>
    <n v="0.12"/>
  </r>
  <r>
    <n v="303"/>
    <x v="13"/>
    <n v="1"/>
    <n v="0"/>
    <n v="1"/>
    <x v="1"/>
    <b v="0"/>
    <n v="0"/>
    <x v="6"/>
    <x v="0"/>
    <n v="0.1"/>
  </r>
  <r>
    <n v="304"/>
    <x v="13"/>
    <n v="1"/>
    <n v="0"/>
    <n v="1"/>
    <x v="2"/>
    <b v="0"/>
    <n v="0"/>
    <x v="6"/>
    <x v="0"/>
    <n v="0.1"/>
  </r>
  <r>
    <n v="305"/>
    <x v="13"/>
    <n v="1"/>
    <n v="0"/>
    <n v="1"/>
    <x v="3"/>
    <b v="0"/>
    <n v="0"/>
    <x v="6"/>
    <x v="0"/>
    <n v="0.1"/>
  </r>
  <r>
    <n v="306"/>
    <x v="13"/>
    <n v="1"/>
    <n v="0"/>
    <n v="1"/>
    <x v="5"/>
    <b v="0"/>
    <n v="0"/>
    <x v="6"/>
    <x v="0"/>
    <n v="0.1"/>
  </r>
  <r>
    <n v="307"/>
    <x v="13"/>
    <n v="1"/>
    <n v="0"/>
    <n v="1"/>
    <x v="6"/>
    <b v="0"/>
    <n v="0"/>
    <x v="6"/>
    <x v="0"/>
    <n v="0.1"/>
  </r>
  <r>
    <n v="308"/>
    <x v="13"/>
    <n v="1"/>
    <n v="0"/>
    <n v="1"/>
    <x v="7"/>
    <b v="0"/>
    <n v="0"/>
    <x v="6"/>
    <x v="0"/>
    <n v="0.1"/>
  </r>
  <r>
    <n v="309"/>
    <x v="13"/>
    <n v="1"/>
    <n v="0"/>
    <n v="1"/>
    <x v="8"/>
    <b v="0"/>
    <n v="0"/>
    <x v="6"/>
    <x v="0"/>
    <n v="0.12"/>
  </r>
  <r>
    <n v="310"/>
    <x v="13"/>
    <n v="1"/>
    <n v="0"/>
    <n v="1"/>
    <x v="9"/>
    <b v="0"/>
    <n v="0"/>
    <x v="6"/>
    <x v="0"/>
    <n v="0.14000000000000001"/>
  </r>
  <r>
    <n v="311"/>
    <x v="13"/>
    <n v="1"/>
    <n v="0"/>
    <n v="1"/>
    <x v="10"/>
    <b v="0"/>
    <n v="0"/>
    <x v="6"/>
    <x v="0"/>
    <n v="0.18"/>
  </r>
  <r>
    <n v="312"/>
    <x v="13"/>
    <n v="1"/>
    <n v="0"/>
    <n v="1"/>
    <x v="11"/>
    <b v="0"/>
    <n v="0"/>
    <x v="6"/>
    <x v="0"/>
    <n v="0.18"/>
  </r>
  <r>
    <n v="313"/>
    <x v="13"/>
    <n v="1"/>
    <n v="0"/>
    <n v="1"/>
    <x v="12"/>
    <b v="0"/>
    <n v="0"/>
    <x v="6"/>
    <x v="0"/>
    <n v="0.2"/>
  </r>
  <r>
    <n v="314"/>
    <x v="13"/>
    <n v="1"/>
    <n v="0"/>
    <n v="1"/>
    <x v="13"/>
    <b v="0"/>
    <n v="0"/>
    <x v="6"/>
    <x v="0"/>
    <n v="0.22"/>
  </r>
  <r>
    <n v="315"/>
    <x v="13"/>
    <n v="1"/>
    <n v="0"/>
    <n v="1"/>
    <x v="14"/>
    <b v="0"/>
    <n v="0"/>
    <x v="6"/>
    <x v="0"/>
    <n v="0.22"/>
  </r>
  <r>
    <n v="316"/>
    <x v="13"/>
    <n v="1"/>
    <n v="0"/>
    <n v="1"/>
    <x v="15"/>
    <b v="0"/>
    <n v="0"/>
    <x v="6"/>
    <x v="0"/>
    <n v="0.24"/>
  </r>
  <r>
    <n v="317"/>
    <x v="13"/>
    <n v="1"/>
    <n v="0"/>
    <n v="1"/>
    <x v="16"/>
    <b v="0"/>
    <n v="0"/>
    <x v="6"/>
    <x v="0"/>
    <n v="0.22"/>
  </r>
  <r>
    <n v="318"/>
    <x v="13"/>
    <n v="1"/>
    <n v="0"/>
    <n v="1"/>
    <x v="17"/>
    <b v="0"/>
    <n v="0"/>
    <x v="6"/>
    <x v="0"/>
    <n v="0.22"/>
  </r>
  <r>
    <n v="319"/>
    <x v="13"/>
    <n v="1"/>
    <n v="0"/>
    <n v="1"/>
    <x v="18"/>
    <b v="0"/>
    <n v="0"/>
    <x v="6"/>
    <x v="0"/>
    <n v="0.2"/>
  </r>
  <r>
    <n v="320"/>
    <x v="13"/>
    <n v="1"/>
    <n v="0"/>
    <n v="1"/>
    <x v="19"/>
    <b v="0"/>
    <n v="0"/>
    <x v="6"/>
    <x v="0"/>
    <n v="0.16"/>
  </r>
  <r>
    <n v="321"/>
    <x v="13"/>
    <n v="1"/>
    <n v="0"/>
    <n v="1"/>
    <x v="20"/>
    <b v="0"/>
    <n v="0"/>
    <x v="6"/>
    <x v="0"/>
    <n v="0.18"/>
  </r>
  <r>
    <n v="322"/>
    <x v="13"/>
    <n v="1"/>
    <n v="0"/>
    <n v="1"/>
    <x v="21"/>
    <b v="0"/>
    <n v="0"/>
    <x v="6"/>
    <x v="0"/>
    <n v="0.16"/>
  </r>
  <r>
    <n v="323"/>
    <x v="13"/>
    <n v="1"/>
    <n v="0"/>
    <n v="1"/>
    <x v="22"/>
    <b v="0"/>
    <n v="0"/>
    <x v="6"/>
    <x v="1"/>
    <n v="0.16"/>
  </r>
  <r>
    <n v="324"/>
    <x v="13"/>
    <n v="1"/>
    <n v="0"/>
    <n v="1"/>
    <x v="23"/>
    <b v="0"/>
    <n v="0"/>
    <x v="6"/>
    <x v="1"/>
    <n v="0.18"/>
  </r>
  <r>
    <n v="325"/>
    <x v="14"/>
    <n v="1"/>
    <n v="0"/>
    <n v="1"/>
    <x v="0"/>
    <b v="0"/>
    <n v="0"/>
    <x v="0"/>
    <x v="0"/>
    <n v="0.18"/>
  </r>
  <r>
    <n v="326"/>
    <x v="14"/>
    <n v="1"/>
    <n v="0"/>
    <n v="1"/>
    <x v="1"/>
    <b v="0"/>
    <n v="0"/>
    <x v="0"/>
    <x v="1"/>
    <n v="0.16"/>
  </r>
  <r>
    <n v="327"/>
    <x v="14"/>
    <n v="1"/>
    <n v="0"/>
    <n v="1"/>
    <x v="2"/>
    <b v="0"/>
    <n v="0"/>
    <x v="0"/>
    <x v="1"/>
    <n v="0.16"/>
  </r>
  <r>
    <n v="328"/>
    <x v="14"/>
    <n v="1"/>
    <n v="0"/>
    <n v="1"/>
    <x v="3"/>
    <b v="0"/>
    <n v="0"/>
    <x v="0"/>
    <x v="1"/>
    <n v="0.16"/>
  </r>
  <r>
    <n v="329"/>
    <x v="14"/>
    <n v="1"/>
    <n v="0"/>
    <n v="1"/>
    <x v="4"/>
    <b v="0"/>
    <n v="0"/>
    <x v="0"/>
    <x v="1"/>
    <n v="0.16"/>
  </r>
  <r>
    <n v="330"/>
    <x v="14"/>
    <n v="1"/>
    <n v="0"/>
    <n v="1"/>
    <x v="5"/>
    <b v="0"/>
    <n v="0"/>
    <x v="0"/>
    <x v="0"/>
    <n v="0.16"/>
  </r>
  <r>
    <n v="331"/>
    <x v="14"/>
    <n v="1"/>
    <n v="0"/>
    <n v="1"/>
    <x v="6"/>
    <b v="0"/>
    <n v="0"/>
    <x v="0"/>
    <x v="0"/>
    <n v="0.14000000000000001"/>
  </r>
  <r>
    <n v="332"/>
    <x v="14"/>
    <n v="1"/>
    <n v="0"/>
    <n v="1"/>
    <x v="7"/>
    <b v="0"/>
    <n v="0"/>
    <x v="0"/>
    <x v="0"/>
    <n v="0.14000000000000001"/>
  </r>
  <r>
    <n v="333"/>
    <x v="14"/>
    <n v="1"/>
    <n v="0"/>
    <n v="1"/>
    <x v="8"/>
    <b v="0"/>
    <n v="0"/>
    <x v="0"/>
    <x v="0"/>
    <n v="0.14000000000000001"/>
  </r>
  <r>
    <n v="334"/>
    <x v="14"/>
    <n v="1"/>
    <n v="0"/>
    <n v="1"/>
    <x v="9"/>
    <b v="0"/>
    <n v="0"/>
    <x v="0"/>
    <x v="0"/>
    <n v="0.16"/>
  </r>
  <r>
    <n v="335"/>
    <x v="14"/>
    <n v="1"/>
    <n v="0"/>
    <n v="1"/>
    <x v="10"/>
    <b v="0"/>
    <n v="0"/>
    <x v="0"/>
    <x v="0"/>
    <n v="0.18"/>
  </r>
  <r>
    <n v="336"/>
    <x v="14"/>
    <n v="1"/>
    <n v="0"/>
    <n v="1"/>
    <x v="11"/>
    <b v="0"/>
    <n v="0"/>
    <x v="0"/>
    <x v="0"/>
    <n v="0.2"/>
  </r>
  <r>
    <n v="337"/>
    <x v="14"/>
    <n v="1"/>
    <n v="0"/>
    <n v="1"/>
    <x v="12"/>
    <b v="0"/>
    <n v="0"/>
    <x v="0"/>
    <x v="0"/>
    <n v="0.24"/>
  </r>
  <r>
    <n v="338"/>
    <x v="14"/>
    <n v="1"/>
    <n v="0"/>
    <n v="1"/>
    <x v="13"/>
    <b v="0"/>
    <n v="0"/>
    <x v="0"/>
    <x v="0"/>
    <n v="0.28000000000000003"/>
  </r>
  <r>
    <n v="339"/>
    <x v="14"/>
    <n v="1"/>
    <n v="0"/>
    <n v="1"/>
    <x v="14"/>
    <b v="0"/>
    <n v="0"/>
    <x v="0"/>
    <x v="0"/>
    <n v="0.3"/>
  </r>
  <r>
    <n v="340"/>
    <x v="14"/>
    <n v="1"/>
    <n v="0"/>
    <n v="1"/>
    <x v="15"/>
    <b v="0"/>
    <n v="0"/>
    <x v="0"/>
    <x v="1"/>
    <n v="0.32"/>
  </r>
  <r>
    <n v="341"/>
    <x v="14"/>
    <n v="1"/>
    <n v="0"/>
    <n v="1"/>
    <x v="16"/>
    <b v="0"/>
    <n v="0"/>
    <x v="0"/>
    <x v="1"/>
    <n v="0.34"/>
  </r>
  <r>
    <n v="342"/>
    <x v="14"/>
    <n v="1"/>
    <n v="0"/>
    <n v="1"/>
    <x v="17"/>
    <b v="0"/>
    <n v="0"/>
    <x v="0"/>
    <x v="1"/>
    <n v="0.32"/>
  </r>
  <r>
    <n v="343"/>
    <x v="14"/>
    <n v="1"/>
    <n v="0"/>
    <n v="1"/>
    <x v="18"/>
    <b v="0"/>
    <n v="0"/>
    <x v="0"/>
    <x v="1"/>
    <n v="0.3"/>
  </r>
  <r>
    <n v="344"/>
    <x v="14"/>
    <n v="1"/>
    <n v="0"/>
    <n v="1"/>
    <x v="19"/>
    <b v="0"/>
    <n v="0"/>
    <x v="0"/>
    <x v="1"/>
    <n v="0.32"/>
  </r>
  <r>
    <n v="345"/>
    <x v="14"/>
    <n v="1"/>
    <n v="0"/>
    <n v="1"/>
    <x v="20"/>
    <b v="0"/>
    <n v="0"/>
    <x v="0"/>
    <x v="1"/>
    <n v="0.32"/>
  </r>
  <r>
    <n v="346"/>
    <x v="14"/>
    <n v="1"/>
    <n v="0"/>
    <n v="1"/>
    <x v="21"/>
    <b v="0"/>
    <n v="0"/>
    <x v="0"/>
    <x v="1"/>
    <n v="0.32"/>
  </r>
  <r>
    <n v="347"/>
    <x v="14"/>
    <n v="1"/>
    <n v="0"/>
    <n v="1"/>
    <x v="22"/>
    <b v="0"/>
    <n v="0"/>
    <x v="0"/>
    <x v="1"/>
    <n v="0.3"/>
  </r>
  <r>
    <n v="348"/>
    <x v="14"/>
    <n v="1"/>
    <n v="0"/>
    <n v="1"/>
    <x v="23"/>
    <b v="0"/>
    <n v="0"/>
    <x v="0"/>
    <x v="0"/>
    <n v="0.3"/>
  </r>
  <r>
    <n v="349"/>
    <x v="15"/>
    <n v="1"/>
    <n v="0"/>
    <n v="1"/>
    <x v="0"/>
    <b v="0"/>
    <n v="0"/>
    <x v="1"/>
    <x v="0"/>
    <n v="0.26"/>
  </r>
  <r>
    <n v="350"/>
    <x v="15"/>
    <n v="1"/>
    <n v="0"/>
    <n v="1"/>
    <x v="1"/>
    <b v="0"/>
    <n v="0"/>
    <x v="1"/>
    <x v="0"/>
    <n v="0.26"/>
  </r>
  <r>
    <n v="351"/>
    <x v="15"/>
    <n v="1"/>
    <n v="0"/>
    <n v="1"/>
    <x v="2"/>
    <b v="0"/>
    <n v="0"/>
    <x v="1"/>
    <x v="0"/>
    <n v="0.26"/>
  </r>
  <r>
    <n v="352"/>
    <x v="15"/>
    <n v="1"/>
    <n v="0"/>
    <n v="1"/>
    <x v="3"/>
    <b v="0"/>
    <n v="0"/>
    <x v="1"/>
    <x v="0"/>
    <n v="0.22"/>
  </r>
  <r>
    <n v="353"/>
    <x v="15"/>
    <n v="1"/>
    <n v="0"/>
    <n v="1"/>
    <x v="4"/>
    <b v="0"/>
    <n v="0"/>
    <x v="1"/>
    <x v="0"/>
    <n v="0.26"/>
  </r>
  <r>
    <n v="354"/>
    <x v="15"/>
    <n v="1"/>
    <n v="0"/>
    <n v="1"/>
    <x v="5"/>
    <b v="0"/>
    <n v="0"/>
    <x v="1"/>
    <x v="1"/>
    <n v="0.26"/>
  </r>
  <r>
    <n v="355"/>
    <x v="15"/>
    <n v="1"/>
    <n v="0"/>
    <n v="1"/>
    <x v="6"/>
    <b v="0"/>
    <n v="0"/>
    <x v="1"/>
    <x v="1"/>
    <n v="0.26"/>
  </r>
  <r>
    <n v="356"/>
    <x v="15"/>
    <n v="1"/>
    <n v="0"/>
    <n v="1"/>
    <x v="7"/>
    <b v="0"/>
    <n v="0"/>
    <x v="1"/>
    <x v="1"/>
    <n v="0.24"/>
  </r>
  <r>
    <n v="357"/>
    <x v="15"/>
    <n v="1"/>
    <n v="0"/>
    <n v="1"/>
    <x v="8"/>
    <b v="0"/>
    <n v="0"/>
    <x v="1"/>
    <x v="0"/>
    <n v="0.22"/>
  </r>
  <r>
    <n v="358"/>
    <x v="15"/>
    <n v="1"/>
    <n v="0"/>
    <n v="1"/>
    <x v="9"/>
    <b v="0"/>
    <n v="0"/>
    <x v="1"/>
    <x v="0"/>
    <n v="0.22"/>
  </r>
  <r>
    <n v="359"/>
    <x v="15"/>
    <n v="1"/>
    <n v="0"/>
    <n v="1"/>
    <x v="10"/>
    <b v="0"/>
    <n v="0"/>
    <x v="1"/>
    <x v="0"/>
    <n v="0.22"/>
  </r>
  <r>
    <n v="360"/>
    <x v="15"/>
    <n v="1"/>
    <n v="0"/>
    <n v="1"/>
    <x v="11"/>
    <b v="0"/>
    <n v="0"/>
    <x v="1"/>
    <x v="0"/>
    <n v="0.24"/>
  </r>
  <r>
    <n v="361"/>
    <x v="15"/>
    <n v="1"/>
    <n v="0"/>
    <n v="1"/>
    <x v="12"/>
    <b v="0"/>
    <n v="0"/>
    <x v="1"/>
    <x v="0"/>
    <n v="0.24"/>
  </r>
  <r>
    <n v="362"/>
    <x v="15"/>
    <n v="1"/>
    <n v="0"/>
    <n v="1"/>
    <x v="13"/>
    <b v="0"/>
    <n v="0"/>
    <x v="1"/>
    <x v="0"/>
    <n v="0.26"/>
  </r>
  <r>
    <n v="363"/>
    <x v="15"/>
    <n v="1"/>
    <n v="0"/>
    <n v="1"/>
    <x v="14"/>
    <b v="0"/>
    <n v="0"/>
    <x v="1"/>
    <x v="0"/>
    <n v="0.28000000000000003"/>
  </r>
  <r>
    <n v="364"/>
    <x v="15"/>
    <n v="1"/>
    <n v="0"/>
    <n v="1"/>
    <x v="15"/>
    <b v="0"/>
    <n v="0"/>
    <x v="1"/>
    <x v="0"/>
    <n v="0.26"/>
  </r>
  <r>
    <n v="365"/>
    <x v="15"/>
    <n v="1"/>
    <n v="0"/>
    <n v="1"/>
    <x v="16"/>
    <b v="0"/>
    <n v="0"/>
    <x v="1"/>
    <x v="0"/>
    <n v="0.24"/>
  </r>
  <r>
    <n v="366"/>
    <x v="15"/>
    <n v="1"/>
    <n v="0"/>
    <n v="1"/>
    <x v="17"/>
    <b v="0"/>
    <n v="0"/>
    <x v="1"/>
    <x v="0"/>
    <n v="0.22"/>
  </r>
  <r>
    <n v="367"/>
    <x v="15"/>
    <n v="1"/>
    <n v="0"/>
    <n v="1"/>
    <x v="18"/>
    <b v="0"/>
    <n v="0"/>
    <x v="1"/>
    <x v="0"/>
    <n v="0.2"/>
  </r>
  <r>
    <n v="368"/>
    <x v="15"/>
    <n v="1"/>
    <n v="0"/>
    <n v="1"/>
    <x v="19"/>
    <b v="0"/>
    <n v="0"/>
    <x v="1"/>
    <x v="0"/>
    <n v="0.18"/>
  </r>
  <r>
    <n v="369"/>
    <x v="15"/>
    <n v="1"/>
    <n v="0"/>
    <n v="1"/>
    <x v="20"/>
    <b v="0"/>
    <n v="0"/>
    <x v="1"/>
    <x v="0"/>
    <n v="0.18"/>
  </r>
  <r>
    <n v="370"/>
    <x v="15"/>
    <n v="1"/>
    <n v="0"/>
    <n v="1"/>
    <x v="21"/>
    <b v="0"/>
    <n v="0"/>
    <x v="1"/>
    <x v="0"/>
    <n v="0.18"/>
  </r>
  <r>
    <n v="371"/>
    <x v="15"/>
    <n v="1"/>
    <n v="0"/>
    <n v="1"/>
    <x v="22"/>
    <b v="0"/>
    <n v="0"/>
    <x v="1"/>
    <x v="1"/>
    <n v="0.2"/>
  </r>
  <r>
    <n v="372"/>
    <x v="15"/>
    <n v="1"/>
    <n v="0"/>
    <n v="1"/>
    <x v="23"/>
    <b v="0"/>
    <n v="0"/>
    <x v="1"/>
    <x v="1"/>
    <n v="0.2"/>
  </r>
  <r>
    <n v="373"/>
    <x v="16"/>
    <n v="1"/>
    <n v="0"/>
    <n v="1"/>
    <x v="0"/>
    <b v="1"/>
    <n v="1"/>
    <x v="2"/>
    <x v="1"/>
    <n v="0.2"/>
  </r>
  <r>
    <n v="374"/>
    <x v="16"/>
    <n v="1"/>
    <n v="0"/>
    <n v="1"/>
    <x v="1"/>
    <b v="1"/>
    <n v="1"/>
    <x v="2"/>
    <x v="1"/>
    <n v="0.2"/>
  </r>
  <r>
    <n v="375"/>
    <x v="16"/>
    <n v="1"/>
    <n v="0"/>
    <n v="1"/>
    <x v="2"/>
    <b v="1"/>
    <n v="1"/>
    <x v="2"/>
    <x v="1"/>
    <n v="0.18"/>
  </r>
  <r>
    <n v="376"/>
    <x v="16"/>
    <n v="1"/>
    <n v="0"/>
    <n v="1"/>
    <x v="3"/>
    <b v="1"/>
    <n v="1"/>
    <x v="2"/>
    <x v="1"/>
    <n v="0.18"/>
  </r>
  <r>
    <n v="377"/>
    <x v="16"/>
    <n v="1"/>
    <n v="0"/>
    <n v="1"/>
    <x v="4"/>
    <b v="1"/>
    <n v="1"/>
    <x v="2"/>
    <x v="1"/>
    <n v="0.18"/>
  </r>
  <r>
    <n v="378"/>
    <x v="16"/>
    <n v="1"/>
    <n v="0"/>
    <n v="1"/>
    <x v="5"/>
    <b v="1"/>
    <n v="1"/>
    <x v="2"/>
    <x v="1"/>
    <n v="0.18"/>
  </r>
  <r>
    <n v="379"/>
    <x v="16"/>
    <n v="1"/>
    <n v="0"/>
    <n v="1"/>
    <x v="6"/>
    <b v="1"/>
    <n v="1"/>
    <x v="2"/>
    <x v="1"/>
    <n v="0.18"/>
  </r>
  <r>
    <n v="380"/>
    <x v="16"/>
    <n v="1"/>
    <n v="0"/>
    <n v="1"/>
    <x v="7"/>
    <b v="1"/>
    <n v="1"/>
    <x v="2"/>
    <x v="1"/>
    <n v="0.16"/>
  </r>
  <r>
    <n v="381"/>
    <x v="16"/>
    <n v="1"/>
    <n v="0"/>
    <n v="1"/>
    <x v="8"/>
    <b v="1"/>
    <n v="1"/>
    <x v="2"/>
    <x v="1"/>
    <n v="0.16"/>
  </r>
  <r>
    <n v="382"/>
    <x v="16"/>
    <n v="1"/>
    <n v="0"/>
    <n v="1"/>
    <x v="9"/>
    <b v="1"/>
    <n v="1"/>
    <x v="2"/>
    <x v="1"/>
    <n v="0.16"/>
  </r>
  <r>
    <n v="383"/>
    <x v="16"/>
    <n v="1"/>
    <n v="0"/>
    <n v="1"/>
    <x v="10"/>
    <b v="1"/>
    <n v="1"/>
    <x v="2"/>
    <x v="1"/>
    <n v="0.16"/>
  </r>
  <r>
    <n v="384"/>
    <x v="16"/>
    <n v="1"/>
    <n v="0"/>
    <n v="1"/>
    <x v="11"/>
    <b v="1"/>
    <n v="1"/>
    <x v="2"/>
    <x v="1"/>
    <n v="0.16"/>
  </r>
  <r>
    <n v="385"/>
    <x v="16"/>
    <n v="1"/>
    <n v="0"/>
    <n v="1"/>
    <x v="12"/>
    <b v="1"/>
    <n v="1"/>
    <x v="2"/>
    <x v="1"/>
    <n v="0.18"/>
  </r>
  <r>
    <n v="386"/>
    <x v="16"/>
    <n v="1"/>
    <n v="0"/>
    <n v="1"/>
    <x v="13"/>
    <b v="1"/>
    <n v="1"/>
    <x v="2"/>
    <x v="1"/>
    <n v="0.18"/>
  </r>
  <r>
    <n v="387"/>
    <x v="16"/>
    <n v="1"/>
    <n v="0"/>
    <n v="1"/>
    <x v="14"/>
    <b v="1"/>
    <n v="1"/>
    <x v="2"/>
    <x v="1"/>
    <n v="0.18"/>
  </r>
  <r>
    <n v="388"/>
    <x v="16"/>
    <n v="1"/>
    <n v="0"/>
    <n v="1"/>
    <x v="15"/>
    <b v="1"/>
    <n v="1"/>
    <x v="2"/>
    <x v="1"/>
    <n v="0.2"/>
  </r>
  <r>
    <n v="389"/>
    <x v="16"/>
    <n v="1"/>
    <n v="0"/>
    <n v="1"/>
    <x v="16"/>
    <b v="1"/>
    <n v="1"/>
    <x v="2"/>
    <x v="1"/>
    <n v="0.2"/>
  </r>
  <r>
    <n v="390"/>
    <x v="16"/>
    <n v="1"/>
    <n v="0"/>
    <n v="1"/>
    <x v="17"/>
    <b v="1"/>
    <n v="1"/>
    <x v="2"/>
    <x v="0"/>
    <n v="0.2"/>
  </r>
  <r>
    <n v="391"/>
    <x v="16"/>
    <n v="1"/>
    <n v="0"/>
    <n v="1"/>
    <x v="18"/>
    <b v="1"/>
    <n v="1"/>
    <x v="2"/>
    <x v="1"/>
    <n v="0.18"/>
  </r>
  <r>
    <n v="392"/>
    <x v="16"/>
    <n v="1"/>
    <n v="0"/>
    <n v="1"/>
    <x v="19"/>
    <b v="1"/>
    <n v="1"/>
    <x v="2"/>
    <x v="2"/>
    <n v="0.18"/>
  </r>
  <r>
    <n v="393"/>
    <x v="16"/>
    <n v="1"/>
    <n v="0"/>
    <n v="1"/>
    <x v="20"/>
    <b v="1"/>
    <n v="1"/>
    <x v="2"/>
    <x v="2"/>
    <n v="0.16"/>
  </r>
  <r>
    <n v="394"/>
    <x v="16"/>
    <n v="1"/>
    <n v="0"/>
    <n v="1"/>
    <x v="21"/>
    <b v="1"/>
    <n v="1"/>
    <x v="2"/>
    <x v="2"/>
    <n v="0.16"/>
  </r>
  <r>
    <n v="395"/>
    <x v="16"/>
    <n v="1"/>
    <n v="0"/>
    <n v="1"/>
    <x v="22"/>
    <b v="1"/>
    <n v="1"/>
    <x v="2"/>
    <x v="2"/>
    <n v="0.14000000000000001"/>
  </r>
  <r>
    <n v="396"/>
    <x v="16"/>
    <n v="1"/>
    <n v="0"/>
    <n v="1"/>
    <x v="23"/>
    <b v="1"/>
    <n v="1"/>
    <x v="2"/>
    <x v="2"/>
    <n v="0.16"/>
  </r>
  <r>
    <n v="397"/>
    <x v="17"/>
    <n v="1"/>
    <n v="0"/>
    <n v="1"/>
    <x v="12"/>
    <b v="0"/>
    <n v="0"/>
    <x v="3"/>
    <x v="1"/>
    <n v="0.2"/>
  </r>
  <r>
    <n v="398"/>
    <x v="17"/>
    <n v="1"/>
    <n v="0"/>
    <n v="1"/>
    <x v="13"/>
    <b v="0"/>
    <n v="0"/>
    <x v="3"/>
    <x v="1"/>
    <n v="0.2"/>
  </r>
  <r>
    <n v="399"/>
    <x v="17"/>
    <n v="1"/>
    <n v="0"/>
    <n v="1"/>
    <x v="14"/>
    <b v="0"/>
    <n v="0"/>
    <x v="3"/>
    <x v="1"/>
    <n v="0.22"/>
  </r>
  <r>
    <n v="400"/>
    <x v="17"/>
    <n v="1"/>
    <n v="0"/>
    <n v="1"/>
    <x v="15"/>
    <b v="0"/>
    <n v="0"/>
    <x v="3"/>
    <x v="1"/>
    <n v="0.22"/>
  </r>
  <r>
    <n v="401"/>
    <x v="17"/>
    <n v="1"/>
    <n v="0"/>
    <n v="1"/>
    <x v="16"/>
    <b v="0"/>
    <n v="0"/>
    <x v="3"/>
    <x v="1"/>
    <n v="0.22"/>
  </r>
  <r>
    <n v="402"/>
    <x v="17"/>
    <n v="1"/>
    <n v="0"/>
    <n v="1"/>
    <x v="17"/>
    <b v="0"/>
    <n v="0"/>
    <x v="3"/>
    <x v="1"/>
    <n v="0.22"/>
  </r>
  <r>
    <n v="403"/>
    <x v="17"/>
    <n v="1"/>
    <n v="0"/>
    <n v="1"/>
    <x v="18"/>
    <b v="0"/>
    <n v="0"/>
    <x v="3"/>
    <x v="1"/>
    <n v="0.22"/>
  </r>
  <r>
    <n v="404"/>
    <x v="17"/>
    <n v="1"/>
    <n v="0"/>
    <n v="1"/>
    <x v="19"/>
    <b v="0"/>
    <n v="0"/>
    <x v="3"/>
    <x v="1"/>
    <n v="0.22"/>
  </r>
  <r>
    <n v="405"/>
    <x v="17"/>
    <n v="1"/>
    <n v="0"/>
    <n v="1"/>
    <x v="20"/>
    <b v="0"/>
    <n v="0"/>
    <x v="3"/>
    <x v="1"/>
    <n v="0.22"/>
  </r>
  <r>
    <n v="406"/>
    <x v="17"/>
    <n v="1"/>
    <n v="0"/>
    <n v="1"/>
    <x v="21"/>
    <b v="0"/>
    <n v="0"/>
    <x v="3"/>
    <x v="1"/>
    <n v="0.22"/>
  </r>
  <r>
    <n v="407"/>
    <x v="17"/>
    <n v="1"/>
    <n v="0"/>
    <n v="1"/>
    <x v="22"/>
    <b v="0"/>
    <n v="0"/>
    <x v="3"/>
    <x v="1"/>
    <n v="0.22"/>
  </r>
  <r>
    <n v="408"/>
    <x v="17"/>
    <n v="1"/>
    <n v="0"/>
    <n v="1"/>
    <x v="23"/>
    <b v="0"/>
    <n v="0"/>
    <x v="3"/>
    <x v="1"/>
    <n v="0.22"/>
  </r>
  <r>
    <n v="409"/>
    <x v="18"/>
    <n v="1"/>
    <n v="0"/>
    <n v="1"/>
    <x v="0"/>
    <b v="0"/>
    <n v="0"/>
    <x v="4"/>
    <x v="1"/>
    <n v="0.22"/>
  </r>
  <r>
    <n v="410"/>
    <x v="18"/>
    <n v="1"/>
    <n v="0"/>
    <n v="1"/>
    <x v="1"/>
    <b v="0"/>
    <n v="0"/>
    <x v="4"/>
    <x v="2"/>
    <n v="0.22"/>
  </r>
  <r>
    <n v="411"/>
    <x v="18"/>
    <n v="1"/>
    <n v="0"/>
    <n v="1"/>
    <x v="2"/>
    <b v="0"/>
    <n v="0"/>
    <x v="4"/>
    <x v="2"/>
    <n v="0.22"/>
  </r>
  <r>
    <n v="412"/>
    <x v="18"/>
    <n v="1"/>
    <n v="0"/>
    <n v="1"/>
    <x v="4"/>
    <b v="0"/>
    <n v="0"/>
    <x v="4"/>
    <x v="2"/>
    <n v="0.22"/>
  </r>
  <r>
    <n v="413"/>
    <x v="18"/>
    <n v="1"/>
    <n v="0"/>
    <n v="1"/>
    <x v="5"/>
    <b v="0"/>
    <n v="0"/>
    <x v="4"/>
    <x v="1"/>
    <n v="0.22"/>
  </r>
  <r>
    <n v="414"/>
    <x v="18"/>
    <n v="1"/>
    <n v="0"/>
    <n v="1"/>
    <x v="6"/>
    <b v="0"/>
    <n v="0"/>
    <x v="4"/>
    <x v="1"/>
    <n v="0.22"/>
  </r>
  <r>
    <n v="415"/>
    <x v="18"/>
    <n v="1"/>
    <n v="0"/>
    <n v="1"/>
    <x v="7"/>
    <b v="0"/>
    <n v="0"/>
    <x v="4"/>
    <x v="1"/>
    <n v="0.24"/>
  </r>
  <r>
    <n v="416"/>
    <x v="18"/>
    <n v="1"/>
    <n v="0"/>
    <n v="1"/>
    <x v="8"/>
    <b v="0"/>
    <n v="0"/>
    <x v="4"/>
    <x v="1"/>
    <n v="0.24"/>
  </r>
  <r>
    <n v="417"/>
    <x v="18"/>
    <n v="1"/>
    <n v="0"/>
    <n v="1"/>
    <x v="9"/>
    <b v="0"/>
    <n v="0"/>
    <x v="4"/>
    <x v="1"/>
    <n v="0.24"/>
  </r>
  <r>
    <n v="418"/>
    <x v="18"/>
    <n v="1"/>
    <n v="0"/>
    <n v="1"/>
    <x v="10"/>
    <b v="0"/>
    <n v="0"/>
    <x v="4"/>
    <x v="1"/>
    <n v="0.26"/>
  </r>
  <r>
    <n v="419"/>
    <x v="18"/>
    <n v="1"/>
    <n v="0"/>
    <n v="1"/>
    <x v="11"/>
    <b v="0"/>
    <n v="0"/>
    <x v="4"/>
    <x v="1"/>
    <n v="0.28000000000000003"/>
  </r>
  <r>
    <n v="420"/>
    <x v="18"/>
    <n v="1"/>
    <n v="0"/>
    <n v="1"/>
    <x v="12"/>
    <b v="0"/>
    <n v="0"/>
    <x v="4"/>
    <x v="1"/>
    <n v="0.3"/>
  </r>
  <r>
    <n v="421"/>
    <x v="18"/>
    <n v="1"/>
    <n v="0"/>
    <n v="1"/>
    <x v="13"/>
    <b v="0"/>
    <n v="0"/>
    <x v="4"/>
    <x v="0"/>
    <n v="0.4"/>
  </r>
  <r>
    <n v="422"/>
    <x v="18"/>
    <n v="1"/>
    <n v="0"/>
    <n v="1"/>
    <x v="14"/>
    <b v="0"/>
    <n v="0"/>
    <x v="4"/>
    <x v="0"/>
    <n v="0.4"/>
  </r>
  <r>
    <n v="423"/>
    <x v="18"/>
    <n v="1"/>
    <n v="0"/>
    <n v="1"/>
    <x v="15"/>
    <b v="0"/>
    <n v="0"/>
    <x v="4"/>
    <x v="0"/>
    <n v="0.4"/>
  </r>
  <r>
    <n v="424"/>
    <x v="18"/>
    <n v="1"/>
    <n v="0"/>
    <n v="1"/>
    <x v="16"/>
    <b v="0"/>
    <n v="0"/>
    <x v="4"/>
    <x v="0"/>
    <n v="0.38"/>
  </r>
  <r>
    <n v="425"/>
    <x v="18"/>
    <n v="1"/>
    <n v="0"/>
    <n v="1"/>
    <x v="17"/>
    <b v="0"/>
    <n v="0"/>
    <x v="4"/>
    <x v="0"/>
    <n v="0.36"/>
  </r>
  <r>
    <n v="426"/>
    <x v="18"/>
    <n v="1"/>
    <n v="0"/>
    <n v="1"/>
    <x v="18"/>
    <b v="0"/>
    <n v="0"/>
    <x v="4"/>
    <x v="0"/>
    <n v="0.34"/>
  </r>
  <r>
    <n v="427"/>
    <x v="18"/>
    <n v="1"/>
    <n v="0"/>
    <n v="1"/>
    <x v="19"/>
    <b v="0"/>
    <n v="0"/>
    <x v="4"/>
    <x v="0"/>
    <n v="0.32"/>
  </r>
  <r>
    <n v="428"/>
    <x v="18"/>
    <n v="1"/>
    <n v="0"/>
    <n v="1"/>
    <x v="20"/>
    <b v="0"/>
    <n v="0"/>
    <x v="4"/>
    <x v="0"/>
    <n v="0.32"/>
  </r>
  <r>
    <n v="429"/>
    <x v="18"/>
    <n v="1"/>
    <n v="0"/>
    <n v="1"/>
    <x v="21"/>
    <b v="0"/>
    <n v="0"/>
    <x v="4"/>
    <x v="0"/>
    <n v="0.32"/>
  </r>
  <r>
    <n v="430"/>
    <x v="18"/>
    <n v="1"/>
    <n v="0"/>
    <n v="1"/>
    <x v="22"/>
    <b v="0"/>
    <n v="0"/>
    <x v="4"/>
    <x v="0"/>
    <n v="0.3"/>
  </r>
  <r>
    <n v="431"/>
    <x v="18"/>
    <n v="1"/>
    <n v="0"/>
    <n v="1"/>
    <x v="23"/>
    <b v="0"/>
    <n v="0"/>
    <x v="4"/>
    <x v="0"/>
    <n v="0.3"/>
  </r>
  <r>
    <n v="432"/>
    <x v="19"/>
    <n v="1"/>
    <n v="0"/>
    <n v="1"/>
    <x v="0"/>
    <b v="0"/>
    <n v="0"/>
    <x v="5"/>
    <x v="0"/>
    <n v="0.26"/>
  </r>
  <r>
    <n v="433"/>
    <x v="19"/>
    <n v="1"/>
    <n v="0"/>
    <n v="1"/>
    <x v="1"/>
    <b v="0"/>
    <n v="0"/>
    <x v="5"/>
    <x v="0"/>
    <n v="0.26"/>
  </r>
  <r>
    <n v="434"/>
    <x v="19"/>
    <n v="1"/>
    <n v="0"/>
    <n v="1"/>
    <x v="2"/>
    <b v="0"/>
    <n v="0"/>
    <x v="5"/>
    <x v="0"/>
    <n v="0.26"/>
  </r>
  <r>
    <n v="435"/>
    <x v="19"/>
    <n v="1"/>
    <n v="0"/>
    <n v="1"/>
    <x v="3"/>
    <b v="0"/>
    <n v="0"/>
    <x v="5"/>
    <x v="0"/>
    <n v="0.26"/>
  </r>
  <r>
    <n v="436"/>
    <x v="19"/>
    <n v="1"/>
    <n v="0"/>
    <n v="1"/>
    <x v="4"/>
    <b v="0"/>
    <n v="0"/>
    <x v="5"/>
    <x v="0"/>
    <n v="0.26"/>
  </r>
  <r>
    <n v="437"/>
    <x v="19"/>
    <n v="1"/>
    <n v="0"/>
    <n v="1"/>
    <x v="5"/>
    <b v="0"/>
    <n v="0"/>
    <x v="5"/>
    <x v="0"/>
    <n v="0.24"/>
  </r>
  <r>
    <n v="438"/>
    <x v="19"/>
    <n v="1"/>
    <n v="0"/>
    <n v="1"/>
    <x v="6"/>
    <b v="0"/>
    <n v="0"/>
    <x v="5"/>
    <x v="0"/>
    <n v="0.22"/>
  </r>
  <r>
    <n v="439"/>
    <x v="19"/>
    <n v="1"/>
    <n v="0"/>
    <n v="1"/>
    <x v="7"/>
    <b v="0"/>
    <n v="0"/>
    <x v="5"/>
    <x v="0"/>
    <n v="0.22"/>
  </r>
  <r>
    <n v="440"/>
    <x v="19"/>
    <n v="1"/>
    <n v="0"/>
    <n v="1"/>
    <x v="8"/>
    <b v="0"/>
    <n v="0"/>
    <x v="5"/>
    <x v="0"/>
    <n v="0.22"/>
  </r>
  <r>
    <n v="441"/>
    <x v="19"/>
    <n v="1"/>
    <n v="0"/>
    <n v="1"/>
    <x v="9"/>
    <b v="0"/>
    <n v="0"/>
    <x v="5"/>
    <x v="1"/>
    <n v="0.24"/>
  </r>
  <r>
    <n v="442"/>
    <x v="19"/>
    <n v="1"/>
    <n v="0"/>
    <n v="1"/>
    <x v="10"/>
    <b v="0"/>
    <n v="0"/>
    <x v="5"/>
    <x v="0"/>
    <n v="0.26"/>
  </r>
  <r>
    <n v="443"/>
    <x v="19"/>
    <n v="1"/>
    <n v="0"/>
    <n v="1"/>
    <x v="11"/>
    <b v="0"/>
    <n v="0"/>
    <x v="5"/>
    <x v="1"/>
    <n v="0.28000000000000003"/>
  </r>
  <r>
    <n v="444"/>
    <x v="19"/>
    <n v="1"/>
    <n v="0"/>
    <n v="1"/>
    <x v="12"/>
    <b v="0"/>
    <n v="0"/>
    <x v="5"/>
    <x v="1"/>
    <n v="0.3"/>
  </r>
  <r>
    <n v="445"/>
    <x v="19"/>
    <n v="1"/>
    <n v="0"/>
    <n v="1"/>
    <x v="13"/>
    <b v="0"/>
    <n v="0"/>
    <x v="5"/>
    <x v="1"/>
    <n v="0.28000000000000003"/>
  </r>
  <r>
    <n v="446"/>
    <x v="19"/>
    <n v="1"/>
    <n v="0"/>
    <n v="1"/>
    <x v="14"/>
    <b v="0"/>
    <n v="0"/>
    <x v="5"/>
    <x v="1"/>
    <n v="0.3"/>
  </r>
  <r>
    <n v="447"/>
    <x v="19"/>
    <n v="1"/>
    <n v="0"/>
    <n v="1"/>
    <x v="15"/>
    <b v="0"/>
    <n v="0"/>
    <x v="5"/>
    <x v="1"/>
    <n v="0.32"/>
  </r>
  <r>
    <n v="448"/>
    <x v="19"/>
    <n v="1"/>
    <n v="0"/>
    <n v="1"/>
    <x v="16"/>
    <b v="0"/>
    <n v="0"/>
    <x v="5"/>
    <x v="1"/>
    <n v="0.3"/>
  </r>
  <r>
    <n v="449"/>
    <x v="19"/>
    <n v="1"/>
    <n v="0"/>
    <n v="1"/>
    <x v="17"/>
    <b v="0"/>
    <n v="0"/>
    <x v="5"/>
    <x v="1"/>
    <n v="0.3"/>
  </r>
  <r>
    <n v="450"/>
    <x v="19"/>
    <n v="1"/>
    <n v="0"/>
    <n v="1"/>
    <x v="18"/>
    <b v="0"/>
    <n v="0"/>
    <x v="5"/>
    <x v="1"/>
    <n v="0.26"/>
  </r>
  <r>
    <n v="451"/>
    <x v="19"/>
    <n v="1"/>
    <n v="0"/>
    <n v="1"/>
    <x v="19"/>
    <b v="0"/>
    <n v="0"/>
    <x v="5"/>
    <x v="0"/>
    <n v="0.26"/>
  </r>
  <r>
    <n v="452"/>
    <x v="19"/>
    <n v="1"/>
    <n v="0"/>
    <n v="1"/>
    <x v="20"/>
    <b v="0"/>
    <n v="0"/>
    <x v="5"/>
    <x v="1"/>
    <n v="0.26"/>
  </r>
  <r>
    <n v="453"/>
    <x v="19"/>
    <n v="1"/>
    <n v="0"/>
    <n v="1"/>
    <x v="21"/>
    <b v="0"/>
    <n v="0"/>
    <x v="5"/>
    <x v="1"/>
    <n v="0.24"/>
  </r>
  <r>
    <n v="454"/>
    <x v="19"/>
    <n v="1"/>
    <n v="0"/>
    <n v="1"/>
    <x v="22"/>
    <b v="0"/>
    <n v="0"/>
    <x v="5"/>
    <x v="1"/>
    <n v="0.24"/>
  </r>
  <r>
    <n v="455"/>
    <x v="19"/>
    <n v="1"/>
    <n v="0"/>
    <n v="1"/>
    <x v="23"/>
    <b v="0"/>
    <n v="0"/>
    <x v="5"/>
    <x v="1"/>
    <n v="0.24"/>
  </r>
  <r>
    <n v="456"/>
    <x v="20"/>
    <n v="1"/>
    <n v="0"/>
    <n v="1"/>
    <x v="0"/>
    <b v="0"/>
    <n v="0"/>
    <x v="6"/>
    <x v="1"/>
    <n v="0.24"/>
  </r>
  <r>
    <n v="457"/>
    <x v="20"/>
    <n v="1"/>
    <n v="0"/>
    <n v="1"/>
    <x v="1"/>
    <b v="0"/>
    <n v="0"/>
    <x v="6"/>
    <x v="1"/>
    <n v="0.24"/>
  </r>
  <r>
    <n v="458"/>
    <x v="20"/>
    <n v="1"/>
    <n v="0"/>
    <n v="1"/>
    <x v="2"/>
    <b v="0"/>
    <n v="0"/>
    <x v="6"/>
    <x v="2"/>
    <n v="0.24"/>
  </r>
  <r>
    <n v="459"/>
    <x v="20"/>
    <n v="1"/>
    <n v="0"/>
    <n v="1"/>
    <x v="3"/>
    <b v="0"/>
    <n v="0"/>
    <x v="6"/>
    <x v="2"/>
    <n v="0.22"/>
  </r>
  <r>
    <n v="460"/>
    <x v="20"/>
    <n v="1"/>
    <n v="0"/>
    <n v="1"/>
    <x v="4"/>
    <b v="0"/>
    <n v="0"/>
    <x v="6"/>
    <x v="1"/>
    <n v="0.22"/>
  </r>
  <r>
    <n v="461"/>
    <x v="20"/>
    <n v="1"/>
    <n v="0"/>
    <n v="1"/>
    <x v="5"/>
    <b v="0"/>
    <n v="0"/>
    <x v="6"/>
    <x v="0"/>
    <n v="0.24"/>
  </r>
  <r>
    <n v="462"/>
    <x v="20"/>
    <n v="1"/>
    <n v="0"/>
    <n v="1"/>
    <x v="6"/>
    <b v="0"/>
    <n v="0"/>
    <x v="6"/>
    <x v="0"/>
    <n v="0.22"/>
  </r>
  <r>
    <n v="463"/>
    <x v="20"/>
    <n v="1"/>
    <n v="0"/>
    <n v="1"/>
    <x v="7"/>
    <b v="0"/>
    <n v="0"/>
    <x v="6"/>
    <x v="0"/>
    <n v="0.2"/>
  </r>
  <r>
    <n v="464"/>
    <x v="20"/>
    <n v="1"/>
    <n v="0"/>
    <n v="1"/>
    <x v="8"/>
    <b v="0"/>
    <n v="0"/>
    <x v="6"/>
    <x v="0"/>
    <n v="0.2"/>
  </r>
  <r>
    <n v="465"/>
    <x v="20"/>
    <n v="1"/>
    <n v="0"/>
    <n v="1"/>
    <x v="9"/>
    <b v="0"/>
    <n v="0"/>
    <x v="6"/>
    <x v="0"/>
    <n v="0.2"/>
  </r>
  <r>
    <n v="466"/>
    <x v="20"/>
    <n v="1"/>
    <n v="0"/>
    <n v="1"/>
    <x v="10"/>
    <b v="0"/>
    <n v="0"/>
    <x v="6"/>
    <x v="0"/>
    <n v="0.2"/>
  </r>
  <r>
    <n v="467"/>
    <x v="20"/>
    <n v="1"/>
    <n v="0"/>
    <n v="1"/>
    <x v="11"/>
    <b v="0"/>
    <n v="0"/>
    <x v="6"/>
    <x v="0"/>
    <n v="0.22"/>
  </r>
  <r>
    <n v="468"/>
    <x v="20"/>
    <n v="1"/>
    <n v="0"/>
    <n v="1"/>
    <x v="12"/>
    <b v="0"/>
    <n v="0"/>
    <x v="6"/>
    <x v="0"/>
    <n v="0.22"/>
  </r>
  <r>
    <n v="469"/>
    <x v="20"/>
    <n v="1"/>
    <n v="0"/>
    <n v="1"/>
    <x v="13"/>
    <b v="0"/>
    <n v="0"/>
    <x v="6"/>
    <x v="0"/>
    <n v="0.2"/>
  </r>
  <r>
    <n v="470"/>
    <x v="20"/>
    <n v="1"/>
    <n v="0"/>
    <n v="1"/>
    <x v="14"/>
    <b v="0"/>
    <n v="0"/>
    <x v="6"/>
    <x v="0"/>
    <n v="0.2"/>
  </r>
  <r>
    <n v="471"/>
    <x v="20"/>
    <n v="1"/>
    <n v="0"/>
    <n v="1"/>
    <x v="15"/>
    <b v="0"/>
    <n v="0"/>
    <x v="6"/>
    <x v="0"/>
    <n v="0.16"/>
  </r>
  <r>
    <n v="472"/>
    <x v="20"/>
    <n v="1"/>
    <n v="0"/>
    <n v="1"/>
    <x v="16"/>
    <b v="0"/>
    <n v="0"/>
    <x v="6"/>
    <x v="0"/>
    <n v="0.16"/>
  </r>
  <r>
    <n v="473"/>
    <x v="20"/>
    <n v="1"/>
    <n v="0"/>
    <n v="1"/>
    <x v="17"/>
    <b v="0"/>
    <n v="0"/>
    <x v="6"/>
    <x v="0"/>
    <n v="0.14000000000000001"/>
  </r>
  <r>
    <n v="474"/>
    <x v="20"/>
    <n v="1"/>
    <n v="0"/>
    <n v="1"/>
    <x v="18"/>
    <b v="0"/>
    <n v="0"/>
    <x v="6"/>
    <x v="0"/>
    <n v="0.12"/>
  </r>
  <r>
    <n v="475"/>
    <x v="20"/>
    <n v="1"/>
    <n v="0"/>
    <n v="1"/>
    <x v="19"/>
    <b v="0"/>
    <n v="0"/>
    <x v="6"/>
    <x v="0"/>
    <n v="0.12"/>
  </r>
  <r>
    <n v="476"/>
    <x v="20"/>
    <n v="1"/>
    <n v="0"/>
    <n v="1"/>
    <x v="20"/>
    <b v="0"/>
    <n v="0"/>
    <x v="6"/>
    <x v="0"/>
    <n v="0.1"/>
  </r>
  <r>
    <n v="477"/>
    <x v="20"/>
    <n v="1"/>
    <n v="0"/>
    <n v="1"/>
    <x v="21"/>
    <b v="0"/>
    <n v="0"/>
    <x v="6"/>
    <x v="0"/>
    <n v="0.08"/>
  </r>
  <r>
    <n v="478"/>
    <x v="20"/>
    <n v="1"/>
    <n v="0"/>
    <n v="1"/>
    <x v="22"/>
    <b v="0"/>
    <n v="0"/>
    <x v="6"/>
    <x v="0"/>
    <n v="0.06"/>
  </r>
  <r>
    <n v="479"/>
    <x v="20"/>
    <n v="1"/>
    <n v="0"/>
    <n v="1"/>
    <x v="23"/>
    <b v="0"/>
    <n v="0"/>
    <x v="6"/>
    <x v="0"/>
    <n v="0.06"/>
  </r>
  <r>
    <n v="480"/>
    <x v="21"/>
    <n v="1"/>
    <n v="0"/>
    <n v="1"/>
    <x v="0"/>
    <b v="0"/>
    <n v="0"/>
    <x v="0"/>
    <x v="0"/>
    <n v="0.04"/>
  </r>
  <r>
    <n v="481"/>
    <x v="21"/>
    <n v="1"/>
    <n v="0"/>
    <n v="1"/>
    <x v="1"/>
    <b v="0"/>
    <n v="0"/>
    <x v="0"/>
    <x v="1"/>
    <n v="0.04"/>
  </r>
  <r>
    <n v="482"/>
    <x v="21"/>
    <n v="1"/>
    <n v="0"/>
    <n v="1"/>
    <x v="2"/>
    <b v="0"/>
    <n v="0"/>
    <x v="0"/>
    <x v="1"/>
    <n v="0.04"/>
  </r>
  <r>
    <n v="483"/>
    <x v="21"/>
    <n v="1"/>
    <n v="0"/>
    <n v="1"/>
    <x v="3"/>
    <b v="0"/>
    <n v="0"/>
    <x v="0"/>
    <x v="1"/>
    <n v="0.04"/>
  </r>
  <r>
    <n v="484"/>
    <x v="21"/>
    <n v="1"/>
    <n v="0"/>
    <n v="1"/>
    <x v="4"/>
    <b v="0"/>
    <n v="0"/>
    <x v="0"/>
    <x v="1"/>
    <n v="0.02"/>
  </r>
  <r>
    <n v="485"/>
    <x v="21"/>
    <n v="1"/>
    <n v="0"/>
    <n v="1"/>
    <x v="6"/>
    <b v="0"/>
    <n v="0"/>
    <x v="0"/>
    <x v="1"/>
    <n v="0.02"/>
  </r>
  <r>
    <n v="486"/>
    <x v="21"/>
    <n v="1"/>
    <n v="0"/>
    <n v="1"/>
    <x v="7"/>
    <b v="0"/>
    <n v="0"/>
    <x v="0"/>
    <x v="0"/>
    <n v="0.02"/>
  </r>
  <r>
    <n v="487"/>
    <x v="21"/>
    <n v="1"/>
    <n v="0"/>
    <n v="1"/>
    <x v="8"/>
    <b v="0"/>
    <n v="0"/>
    <x v="0"/>
    <x v="0"/>
    <n v="0.02"/>
  </r>
  <r>
    <n v="488"/>
    <x v="21"/>
    <n v="1"/>
    <n v="0"/>
    <n v="1"/>
    <x v="9"/>
    <b v="0"/>
    <n v="0"/>
    <x v="0"/>
    <x v="0"/>
    <n v="0.04"/>
  </r>
  <r>
    <n v="489"/>
    <x v="21"/>
    <n v="1"/>
    <n v="0"/>
    <n v="1"/>
    <x v="10"/>
    <b v="0"/>
    <n v="0"/>
    <x v="0"/>
    <x v="1"/>
    <n v="0.04"/>
  </r>
  <r>
    <n v="490"/>
    <x v="21"/>
    <n v="1"/>
    <n v="0"/>
    <n v="1"/>
    <x v="11"/>
    <b v="0"/>
    <n v="0"/>
    <x v="0"/>
    <x v="1"/>
    <n v="0.06"/>
  </r>
  <r>
    <n v="491"/>
    <x v="21"/>
    <n v="1"/>
    <n v="0"/>
    <n v="1"/>
    <x v="12"/>
    <b v="0"/>
    <n v="0"/>
    <x v="0"/>
    <x v="1"/>
    <n v="0.06"/>
  </r>
  <r>
    <n v="492"/>
    <x v="21"/>
    <n v="1"/>
    <n v="0"/>
    <n v="1"/>
    <x v="13"/>
    <b v="0"/>
    <n v="0"/>
    <x v="0"/>
    <x v="0"/>
    <n v="0.08"/>
  </r>
  <r>
    <n v="493"/>
    <x v="21"/>
    <n v="1"/>
    <n v="0"/>
    <n v="1"/>
    <x v="14"/>
    <b v="0"/>
    <n v="0"/>
    <x v="0"/>
    <x v="0"/>
    <n v="0.1"/>
  </r>
  <r>
    <n v="494"/>
    <x v="21"/>
    <n v="1"/>
    <n v="0"/>
    <n v="1"/>
    <x v="15"/>
    <b v="0"/>
    <n v="0"/>
    <x v="0"/>
    <x v="0"/>
    <n v="0.12"/>
  </r>
  <r>
    <n v="495"/>
    <x v="21"/>
    <n v="1"/>
    <n v="0"/>
    <n v="1"/>
    <x v="16"/>
    <b v="0"/>
    <n v="0"/>
    <x v="0"/>
    <x v="0"/>
    <n v="0.12"/>
  </r>
  <r>
    <n v="496"/>
    <x v="21"/>
    <n v="1"/>
    <n v="0"/>
    <n v="1"/>
    <x v="17"/>
    <b v="0"/>
    <n v="0"/>
    <x v="0"/>
    <x v="0"/>
    <n v="0.12"/>
  </r>
  <r>
    <n v="497"/>
    <x v="21"/>
    <n v="1"/>
    <n v="0"/>
    <n v="1"/>
    <x v="18"/>
    <b v="0"/>
    <n v="0"/>
    <x v="0"/>
    <x v="0"/>
    <n v="0.08"/>
  </r>
  <r>
    <n v="498"/>
    <x v="21"/>
    <n v="1"/>
    <n v="0"/>
    <n v="1"/>
    <x v="19"/>
    <b v="0"/>
    <n v="0"/>
    <x v="0"/>
    <x v="0"/>
    <n v="0.08"/>
  </r>
  <r>
    <n v="499"/>
    <x v="21"/>
    <n v="1"/>
    <n v="0"/>
    <n v="1"/>
    <x v="20"/>
    <b v="0"/>
    <n v="0"/>
    <x v="0"/>
    <x v="0"/>
    <n v="0.06"/>
  </r>
  <r>
    <n v="500"/>
    <x v="21"/>
    <n v="1"/>
    <n v="0"/>
    <n v="1"/>
    <x v="21"/>
    <b v="0"/>
    <n v="0"/>
    <x v="0"/>
    <x v="0"/>
    <n v="0.06"/>
  </r>
  <r>
    <n v="501"/>
    <x v="21"/>
    <n v="1"/>
    <n v="0"/>
    <n v="1"/>
    <x v="22"/>
    <b v="0"/>
    <n v="0"/>
    <x v="0"/>
    <x v="0"/>
    <n v="0.06"/>
  </r>
  <r>
    <n v="502"/>
    <x v="21"/>
    <n v="1"/>
    <n v="0"/>
    <n v="1"/>
    <x v="23"/>
    <b v="0"/>
    <n v="0"/>
    <x v="0"/>
    <x v="0"/>
    <n v="0.04"/>
  </r>
  <r>
    <n v="503"/>
    <x v="22"/>
    <n v="1"/>
    <n v="0"/>
    <n v="1"/>
    <x v="0"/>
    <b v="0"/>
    <n v="0"/>
    <x v="1"/>
    <x v="0"/>
    <n v="0.04"/>
  </r>
  <r>
    <n v="504"/>
    <x v="22"/>
    <n v="1"/>
    <n v="0"/>
    <n v="1"/>
    <x v="1"/>
    <b v="0"/>
    <n v="0"/>
    <x v="1"/>
    <x v="0"/>
    <n v="0.04"/>
  </r>
  <r>
    <n v="505"/>
    <x v="22"/>
    <n v="1"/>
    <n v="0"/>
    <n v="1"/>
    <x v="2"/>
    <b v="0"/>
    <n v="0"/>
    <x v="1"/>
    <x v="0"/>
    <n v="0.02"/>
  </r>
  <r>
    <n v="506"/>
    <x v="22"/>
    <n v="1"/>
    <n v="0"/>
    <n v="1"/>
    <x v="3"/>
    <b v="0"/>
    <n v="0"/>
    <x v="1"/>
    <x v="0"/>
    <n v="0.02"/>
  </r>
  <r>
    <n v="507"/>
    <x v="22"/>
    <n v="1"/>
    <n v="0"/>
    <n v="1"/>
    <x v="5"/>
    <b v="0"/>
    <n v="0"/>
    <x v="1"/>
    <x v="1"/>
    <n v="0.04"/>
  </r>
  <r>
    <n v="508"/>
    <x v="22"/>
    <n v="1"/>
    <n v="0"/>
    <n v="1"/>
    <x v="6"/>
    <b v="0"/>
    <n v="0"/>
    <x v="1"/>
    <x v="1"/>
    <n v="0.04"/>
  </r>
  <r>
    <n v="509"/>
    <x v="22"/>
    <n v="1"/>
    <n v="0"/>
    <n v="1"/>
    <x v="7"/>
    <b v="0"/>
    <n v="0"/>
    <x v="1"/>
    <x v="0"/>
    <n v="0.08"/>
  </r>
  <r>
    <n v="510"/>
    <x v="22"/>
    <n v="1"/>
    <n v="0"/>
    <n v="1"/>
    <x v="8"/>
    <b v="0"/>
    <n v="0"/>
    <x v="1"/>
    <x v="0"/>
    <n v="0.06"/>
  </r>
  <r>
    <n v="511"/>
    <x v="22"/>
    <n v="1"/>
    <n v="0"/>
    <n v="1"/>
    <x v="9"/>
    <b v="0"/>
    <n v="0"/>
    <x v="1"/>
    <x v="0"/>
    <n v="0.1"/>
  </r>
  <r>
    <n v="512"/>
    <x v="22"/>
    <n v="1"/>
    <n v="0"/>
    <n v="1"/>
    <x v="10"/>
    <b v="0"/>
    <n v="0"/>
    <x v="1"/>
    <x v="0"/>
    <n v="0.14000000000000001"/>
  </r>
  <r>
    <n v="513"/>
    <x v="22"/>
    <n v="1"/>
    <n v="0"/>
    <n v="1"/>
    <x v="11"/>
    <b v="0"/>
    <n v="0"/>
    <x v="1"/>
    <x v="0"/>
    <n v="0.14000000000000001"/>
  </r>
  <r>
    <n v="514"/>
    <x v="22"/>
    <n v="1"/>
    <n v="0"/>
    <n v="1"/>
    <x v="12"/>
    <b v="0"/>
    <n v="0"/>
    <x v="1"/>
    <x v="0"/>
    <n v="0.16"/>
  </r>
  <r>
    <n v="515"/>
    <x v="22"/>
    <n v="1"/>
    <n v="0"/>
    <n v="1"/>
    <x v="13"/>
    <b v="0"/>
    <n v="0"/>
    <x v="1"/>
    <x v="0"/>
    <n v="0.14000000000000001"/>
  </r>
  <r>
    <n v="516"/>
    <x v="22"/>
    <n v="1"/>
    <n v="0"/>
    <n v="1"/>
    <x v="14"/>
    <b v="0"/>
    <n v="0"/>
    <x v="1"/>
    <x v="0"/>
    <n v="0.16"/>
  </r>
  <r>
    <n v="517"/>
    <x v="22"/>
    <n v="1"/>
    <n v="0"/>
    <n v="1"/>
    <x v="15"/>
    <b v="0"/>
    <n v="0"/>
    <x v="1"/>
    <x v="0"/>
    <n v="0.16"/>
  </r>
  <r>
    <n v="518"/>
    <x v="22"/>
    <n v="1"/>
    <n v="0"/>
    <n v="1"/>
    <x v="16"/>
    <b v="0"/>
    <n v="0"/>
    <x v="1"/>
    <x v="0"/>
    <n v="0.16"/>
  </r>
  <r>
    <n v="519"/>
    <x v="22"/>
    <n v="1"/>
    <n v="0"/>
    <n v="1"/>
    <x v="17"/>
    <b v="0"/>
    <n v="0"/>
    <x v="1"/>
    <x v="0"/>
    <n v="0.14000000000000001"/>
  </r>
  <r>
    <n v="520"/>
    <x v="22"/>
    <n v="1"/>
    <n v="0"/>
    <n v="1"/>
    <x v="18"/>
    <b v="0"/>
    <n v="0"/>
    <x v="1"/>
    <x v="0"/>
    <n v="0.12"/>
  </r>
  <r>
    <n v="521"/>
    <x v="22"/>
    <n v="1"/>
    <n v="0"/>
    <n v="1"/>
    <x v="19"/>
    <b v="0"/>
    <n v="0"/>
    <x v="1"/>
    <x v="0"/>
    <n v="0.12"/>
  </r>
  <r>
    <n v="522"/>
    <x v="22"/>
    <n v="1"/>
    <n v="0"/>
    <n v="1"/>
    <x v="20"/>
    <b v="0"/>
    <n v="0"/>
    <x v="1"/>
    <x v="0"/>
    <n v="0.1"/>
  </r>
  <r>
    <n v="523"/>
    <x v="22"/>
    <n v="1"/>
    <n v="0"/>
    <n v="1"/>
    <x v="21"/>
    <b v="0"/>
    <n v="0"/>
    <x v="1"/>
    <x v="0"/>
    <n v="0.1"/>
  </r>
  <r>
    <n v="524"/>
    <x v="22"/>
    <n v="1"/>
    <n v="0"/>
    <n v="1"/>
    <x v="22"/>
    <b v="0"/>
    <n v="0"/>
    <x v="1"/>
    <x v="0"/>
    <n v="0.08"/>
  </r>
  <r>
    <n v="525"/>
    <x v="22"/>
    <n v="1"/>
    <n v="0"/>
    <n v="1"/>
    <x v="23"/>
    <b v="0"/>
    <n v="0"/>
    <x v="1"/>
    <x v="0"/>
    <n v="0.06"/>
  </r>
  <r>
    <n v="526"/>
    <x v="23"/>
    <n v="1"/>
    <n v="0"/>
    <n v="1"/>
    <x v="0"/>
    <b v="0"/>
    <n v="0"/>
    <x v="2"/>
    <x v="0"/>
    <n v="0.06"/>
  </r>
  <r>
    <n v="527"/>
    <x v="23"/>
    <n v="1"/>
    <n v="0"/>
    <n v="1"/>
    <x v="1"/>
    <b v="0"/>
    <n v="0"/>
    <x v="2"/>
    <x v="0"/>
    <n v="0.04"/>
  </r>
  <r>
    <n v="528"/>
    <x v="23"/>
    <n v="1"/>
    <n v="0"/>
    <n v="1"/>
    <x v="3"/>
    <b v="0"/>
    <n v="0"/>
    <x v="2"/>
    <x v="0"/>
    <n v="0.04"/>
  </r>
  <r>
    <n v="529"/>
    <x v="23"/>
    <n v="1"/>
    <n v="0"/>
    <n v="1"/>
    <x v="4"/>
    <b v="0"/>
    <n v="0"/>
    <x v="2"/>
    <x v="0"/>
    <n v="0.02"/>
  </r>
  <r>
    <n v="530"/>
    <x v="23"/>
    <n v="1"/>
    <n v="0"/>
    <n v="1"/>
    <x v="5"/>
    <b v="0"/>
    <n v="0"/>
    <x v="2"/>
    <x v="0"/>
    <n v="0.02"/>
  </r>
  <r>
    <n v="531"/>
    <x v="23"/>
    <n v="1"/>
    <n v="0"/>
    <n v="1"/>
    <x v="6"/>
    <b v="0"/>
    <n v="0"/>
    <x v="2"/>
    <x v="0"/>
    <n v="0.02"/>
  </r>
  <r>
    <n v="532"/>
    <x v="23"/>
    <n v="1"/>
    <n v="0"/>
    <n v="1"/>
    <x v="7"/>
    <b v="0"/>
    <n v="0"/>
    <x v="2"/>
    <x v="0"/>
    <n v="0.02"/>
  </r>
  <r>
    <n v="533"/>
    <x v="23"/>
    <n v="1"/>
    <n v="0"/>
    <n v="1"/>
    <x v="8"/>
    <b v="0"/>
    <n v="0"/>
    <x v="2"/>
    <x v="0"/>
    <n v="0.04"/>
  </r>
  <r>
    <n v="534"/>
    <x v="23"/>
    <n v="1"/>
    <n v="0"/>
    <n v="1"/>
    <x v="9"/>
    <b v="0"/>
    <n v="0"/>
    <x v="2"/>
    <x v="0"/>
    <n v="0.06"/>
  </r>
  <r>
    <n v="535"/>
    <x v="23"/>
    <n v="1"/>
    <n v="0"/>
    <n v="1"/>
    <x v="10"/>
    <b v="0"/>
    <n v="0"/>
    <x v="2"/>
    <x v="0"/>
    <n v="0.1"/>
  </r>
  <r>
    <n v="536"/>
    <x v="23"/>
    <n v="1"/>
    <n v="0"/>
    <n v="1"/>
    <x v="11"/>
    <b v="0"/>
    <n v="0"/>
    <x v="2"/>
    <x v="0"/>
    <n v="0.1"/>
  </r>
  <r>
    <n v="537"/>
    <x v="23"/>
    <n v="1"/>
    <n v="0"/>
    <n v="1"/>
    <x v="12"/>
    <b v="0"/>
    <n v="0"/>
    <x v="2"/>
    <x v="1"/>
    <n v="0.12"/>
  </r>
  <r>
    <n v="538"/>
    <x v="23"/>
    <n v="1"/>
    <n v="0"/>
    <n v="1"/>
    <x v="13"/>
    <b v="0"/>
    <n v="0"/>
    <x v="2"/>
    <x v="1"/>
    <n v="0.14000000000000001"/>
  </r>
  <r>
    <n v="539"/>
    <x v="23"/>
    <n v="1"/>
    <n v="0"/>
    <n v="1"/>
    <x v="14"/>
    <b v="0"/>
    <n v="0"/>
    <x v="2"/>
    <x v="1"/>
    <n v="0.14000000000000001"/>
  </r>
  <r>
    <n v="540"/>
    <x v="23"/>
    <n v="1"/>
    <n v="0"/>
    <n v="1"/>
    <x v="15"/>
    <b v="0"/>
    <n v="0"/>
    <x v="2"/>
    <x v="0"/>
    <n v="0.16"/>
  </r>
  <r>
    <n v="541"/>
    <x v="23"/>
    <n v="1"/>
    <n v="0"/>
    <n v="1"/>
    <x v="16"/>
    <b v="0"/>
    <n v="0"/>
    <x v="2"/>
    <x v="0"/>
    <n v="0.16"/>
  </r>
  <r>
    <n v="542"/>
    <x v="23"/>
    <n v="1"/>
    <n v="0"/>
    <n v="1"/>
    <x v="17"/>
    <b v="0"/>
    <n v="0"/>
    <x v="2"/>
    <x v="0"/>
    <n v="0.14000000000000001"/>
  </r>
  <r>
    <n v="543"/>
    <x v="23"/>
    <n v="1"/>
    <n v="0"/>
    <n v="1"/>
    <x v="18"/>
    <b v="0"/>
    <n v="0"/>
    <x v="2"/>
    <x v="0"/>
    <n v="0.14000000000000001"/>
  </r>
  <r>
    <n v="544"/>
    <x v="23"/>
    <n v="1"/>
    <n v="0"/>
    <n v="1"/>
    <x v="19"/>
    <b v="0"/>
    <n v="0"/>
    <x v="2"/>
    <x v="0"/>
    <n v="0.14000000000000001"/>
  </r>
  <r>
    <n v="545"/>
    <x v="23"/>
    <n v="1"/>
    <n v="0"/>
    <n v="1"/>
    <x v="20"/>
    <b v="0"/>
    <n v="0"/>
    <x v="2"/>
    <x v="0"/>
    <n v="0.14000000000000001"/>
  </r>
  <r>
    <n v="546"/>
    <x v="23"/>
    <n v="1"/>
    <n v="0"/>
    <n v="1"/>
    <x v="21"/>
    <b v="0"/>
    <n v="0"/>
    <x v="2"/>
    <x v="0"/>
    <n v="0.14000000000000001"/>
  </r>
  <r>
    <n v="547"/>
    <x v="23"/>
    <n v="1"/>
    <n v="0"/>
    <n v="1"/>
    <x v="22"/>
    <b v="0"/>
    <n v="0"/>
    <x v="2"/>
    <x v="1"/>
    <n v="0.14000000000000001"/>
  </r>
  <r>
    <n v="548"/>
    <x v="23"/>
    <n v="1"/>
    <n v="0"/>
    <n v="1"/>
    <x v="23"/>
    <b v="0"/>
    <n v="0"/>
    <x v="2"/>
    <x v="1"/>
    <n v="0.16"/>
  </r>
  <r>
    <n v="549"/>
    <x v="24"/>
    <n v="1"/>
    <n v="0"/>
    <n v="1"/>
    <x v="0"/>
    <b v="0"/>
    <n v="0"/>
    <x v="3"/>
    <x v="1"/>
    <n v="0.16"/>
  </r>
  <r>
    <n v="550"/>
    <x v="24"/>
    <n v="1"/>
    <n v="0"/>
    <n v="1"/>
    <x v="1"/>
    <b v="0"/>
    <n v="0"/>
    <x v="3"/>
    <x v="1"/>
    <n v="0.16"/>
  </r>
  <r>
    <n v="551"/>
    <x v="24"/>
    <n v="1"/>
    <n v="0"/>
    <n v="1"/>
    <x v="2"/>
    <b v="0"/>
    <n v="0"/>
    <x v="3"/>
    <x v="0"/>
    <n v="0.16"/>
  </r>
  <r>
    <n v="552"/>
    <x v="24"/>
    <n v="1"/>
    <n v="0"/>
    <n v="1"/>
    <x v="4"/>
    <b v="0"/>
    <n v="0"/>
    <x v="3"/>
    <x v="0"/>
    <n v="0.14000000000000001"/>
  </r>
  <r>
    <n v="553"/>
    <x v="24"/>
    <n v="1"/>
    <n v="0"/>
    <n v="1"/>
    <x v="5"/>
    <b v="0"/>
    <n v="0"/>
    <x v="3"/>
    <x v="0"/>
    <n v="0.14000000000000001"/>
  </r>
  <r>
    <n v="554"/>
    <x v="24"/>
    <n v="1"/>
    <n v="0"/>
    <n v="1"/>
    <x v="6"/>
    <b v="0"/>
    <n v="0"/>
    <x v="3"/>
    <x v="0"/>
    <n v="0.16"/>
  </r>
  <r>
    <n v="555"/>
    <x v="24"/>
    <n v="1"/>
    <n v="0"/>
    <n v="1"/>
    <x v="7"/>
    <b v="0"/>
    <n v="0"/>
    <x v="3"/>
    <x v="0"/>
    <n v="0.16"/>
  </r>
  <r>
    <n v="556"/>
    <x v="24"/>
    <n v="1"/>
    <n v="0"/>
    <n v="1"/>
    <x v="8"/>
    <b v="0"/>
    <n v="0"/>
    <x v="3"/>
    <x v="1"/>
    <n v="0.16"/>
  </r>
  <r>
    <n v="557"/>
    <x v="24"/>
    <n v="1"/>
    <n v="0"/>
    <n v="1"/>
    <x v="9"/>
    <b v="0"/>
    <n v="0"/>
    <x v="3"/>
    <x v="1"/>
    <n v="0.2"/>
  </r>
  <r>
    <n v="558"/>
    <x v="24"/>
    <n v="1"/>
    <n v="0"/>
    <n v="1"/>
    <x v="10"/>
    <b v="0"/>
    <n v="0"/>
    <x v="3"/>
    <x v="1"/>
    <n v="0.22"/>
  </r>
  <r>
    <n v="559"/>
    <x v="24"/>
    <n v="1"/>
    <n v="0"/>
    <n v="1"/>
    <x v="11"/>
    <b v="0"/>
    <n v="0"/>
    <x v="3"/>
    <x v="1"/>
    <n v="0.24"/>
  </r>
  <r>
    <n v="560"/>
    <x v="24"/>
    <n v="1"/>
    <n v="0"/>
    <n v="1"/>
    <x v="12"/>
    <b v="0"/>
    <n v="0"/>
    <x v="3"/>
    <x v="1"/>
    <n v="0.26"/>
  </r>
  <r>
    <n v="561"/>
    <x v="24"/>
    <n v="1"/>
    <n v="0"/>
    <n v="1"/>
    <x v="13"/>
    <b v="0"/>
    <n v="0"/>
    <x v="3"/>
    <x v="1"/>
    <n v="0.26"/>
  </r>
  <r>
    <n v="562"/>
    <x v="24"/>
    <n v="1"/>
    <n v="0"/>
    <n v="1"/>
    <x v="14"/>
    <b v="0"/>
    <n v="0"/>
    <x v="3"/>
    <x v="1"/>
    <n v="0.3"/>
  </r>
  <r>
    <n v="563"/>
    <x v="24"/>
    <n v="1"/>
    <n v="0"/>
    <n v="1"/>
    <x v="15"/>
    <b v="0"/>
    <n v="0"/>
    <x v="3"/>
    <x v="1"/>
    <n v="0.32"/>
  </r>
  <r>
    <n v="564"/>
    <x v="24"/>
    <n v="1"/>
    <n v="0"/>
    <n v="1"/>
    <x v="16"/>
    <b v="0"/>
    <n v="0"/>
    <x v="3"/>
    <x v="1"/>
    <n v="0.32"/>
  </r>
  <r>
    <n v="565"/>
    <x v="24"/>
    <n v="1"/>
    <n v="0"/>
    <n v="1"/>
    <x v="17"/>
    <b v="0"/>
    <n v="0"/>
    <x v="3"/>
    <x v="0"/>
    <n v="0.3"/>
  </r>
  <r>
    <n v="566"/>
    <x v="24"/>
    <n v="1"/>
    <n v="0"/>
    <n v="1"/>
    <x v="18"/>
    <b v="0"/>
    <n v="0"/>
    <x v="3"/>
    <x v="1"/>
    <n v="0.3"/>
  </r>
  <r>
    <n v="567"/>
    <x v="24"/>
    <n v="1"/>
    <n v="0"/>
    <n v="1"/>
    <x v="19"/>
    <b v="0"/>
    <n v="0"/>
    <x v="3"/>
    <x v="1"/>
    <n v="0.26"/>
  </r>
  <r>
    <n v="568"/>
    <x v="24"/>
    <n v="1"/>
    <n v="0"/>
    <n v="1"/>
    <x v="20"/>
    <b v="0"/>
    <n v="0"/>
    <x v="3"/>
    <x v="0"/>
    <n v="0.24"/>
  </r>
  <r>
    <n v="569"/>
    <x v="24"/>
    <n v="1"/>
    <n v="0"/>
    <n v="1"/>
    <x v="21"/>
    <b v="0"/>
    <n v="0"/>
    <x v="3"/>
    <x v="0"/>
    <n v="0.24"/>
  </r>
  <r>
    <n v="570"/>
    <x v="24"/>
    <n v="1"/>
    <n v="0"/>
    <n v="1"/>
    <x v="22"/>
    <b v="0"/>
    <n v="0"/>
    <x v="3"/>
    <x v="0"/>
    <n v="0.22"/>
  </r>
  <r>
    <n v="571"/>
    <x v="24"/>
    <n v="1"/>
    <n v="0"/>
    <n v="1"/>
    <x v="23"/>
    <b v="0"/>
    <n v="0"/>
    <x v="3"/>
    <x v="1"/>
    <n v="0.22"/>
  </r>
  <r>
    <n v="572"/>
    <x v="25"/>
    <n v="1"/>
    <n v="0"/>
    <n v="1"/>
    <x v="0"/>
    <b v="0"/>
    <n v="0"/>
    <x v="4"/>
    <x v="1"/>
    <n v="0.22"/>
  </r>
  <r>
    <n v="573"/>
    <x v="25"/>
    <n v="1"/>
    <n v="0"/>
    <n v="1"/>
    <x v="1"/>
    <b v="0"/>
    <n v="0"/>
    <x v="4"/>
    <x v="1"/>
    <n v="0.24"/>
  </r>
  <r>
    <n v="574"/>
    <x v="25"/>
    <n v="1"/>
    <n v="0"/>
    <n v="1"/>
    <x v="2"/>
    <b v="0"/>
    <n v="0"/>
    <x v="4"/>
    <x v="2"/>
    <n v="0.22"/>
  </r>
  <r>
    <n v="575"/>
    <x v="25"/>
    <n v="1"/>
    <n v="0"/>
    <n v="1"/>
    <x v="5"/>
    <b v="0"/>
    <n v="0"/>
    <x v="4"/>
    <x v="2"/>
    <n v="0.2"/>
  </r>
  <r>
    <n v="576"/>
    <x v="25"/>
    <n v="1"/>
    <n v="0"/>
    <n v="1"/>
    <x v="6"/>
    <b v="0"/>
    <n v="0"/>
    <x v="4"/>
    <x v="2"/>
    <n v="0.2"/>
  </r>
  <r>
    <n v="577"/>
    <x v="25"/>
    <n v="1"/>
    <n v="0"/>
    <n v="1"/>
    <x v="7"/>
    <b v="0"/>
    <n v="0"/>
    <x v="4"/>
    <x v="2"/>
    <n v="0.22"/>
  </r>
  <r>
    <n v="578"/>
    <x v="25"/>
    <n v="1"/>
    <n v="0"/>
    <n v="1"/>
    <x v="8"/>
    <b v="0"/>
    <n v="0"/>
    <x v="4"/>
    <x v="2"/>
    <n v="0.22"/>
  </r>
  <r>
    <n v="579"/>
    <x v="25"/>
    <n v="1"/>
    <n v="0"/>
    <n v="1"/>
    <x v="9"/>
    <b v="0"/>
    <n v="0"/>
    <x v="4"/>
    <x v="2"/>
    <n v="0.22"/>
  </r>
  <r>
    <n v="580"/>
    <x v="25"/>
    <n v="1"/>
    <n v="0"/>
    <n v="1"/>
    <x v="10"/>
    <b v="0"/>
    <n v="0"/>
    <x v="4"/>
    <x v="2"/>
    <n v="0.22"/>
  </r>
  <r>
    <n v="581"/>
    <x v="25"/>
    <n v="1"/>
    <n v="0"/>
    <n v="1"/>
    <x v="11"/>
    <b v="0"/>
    <n v="0"/>
    <x v="4"/>
    <x v="2"/>
    <n v="0.22"/>
  </r>
  <r>
    <n v="582"/>
    <x v="25"/>
    <n v="1"/>
    <n v="0"/>
    <n v="1"/>
    <x v="12"/>
    <b v="0"/>
    <n v="0"/>
    <x v="4"/>
    <x v="2"/>
    <n v="0.22"/>
  </r>
  <r>
    <n v="583"/>
    <x v="25"/>
    <n v="1"/>
    <n v="0"/>
    <n v="1"/>
    <x v="13"/>
    <b v="0"/>
    <n v="0"/>
    <x v="4"/>
    <x v="2"/>
    <n v="0.22"/>
  </r>
  <r>
    <n v="584"/>
    <x v="25"/>
    <n v="1"/>
    <n v="0"/>
    <n v="1"/>
    <x v="14"/>
    <b v="0"/>
    <n v="0"/>
    <x v="4"/>
    <x v="2"/>
    <n v="0.22"/>
  </r>
  <r>
    <n v="585"/>
    <x v="25"/>
    <n v="1"/>
    <n v="0"/>
    <n v="1"/>
    <x v="15"/>
    <b v="0"/>
    <n v="0"/>
    <x v="4"/>
    <x v="2"/>
    <n v="0.22"/>
  </r>
  <r>
    <n v="586"/>
    <x v="25"/>
    <n v="1"/>
    <n v="0"/>
    <n v="1"/>
    <x v="16"/>
    <b v="0"/>
    <n v="0"/>
    <x v="4"/>
    <x v="3"/>
    <n v="0.22"/>
  </r>
  <r>
    <n v="587"/>
    <x v="25"/>
    <n v="1"/>
    <n v="0"/>
    <n v="1"/>
    <x v="17"/>
    <b v="0"/>
    <n v="0"/>
    <x v="4"/>
    <x v="2"/>
    <n v="0.2"/>
  </r>
  <r>
    <n v="588"/>
    <x v="26"/>
    <n v="1"/>
    <n v="0"/>
    <n v="1"/>
    <x v="16"/>
    <b v="0"/>
    <n v="0"/>
    <x v="5"/>
    <x v="0"/>
    <n v="0.22"/>
  </r>
  <r>
    <n v="589"/>
    <x v="26"/>
    <n v="1"/>
    <n v="0"/>
    <n v="1"/>
    <x v="17"/>
    <b v="0"/>
    <n v="0"/>
    <x v="5"/>
    <x v="0"/>
    <n v="0.22"/>
  </r>
  <r>
    <n v="590"/>
    <x v="26"/>
    <n v="1"/>
    <n v="0"/>
    <n v="1"/>
    <x v="18"/>
    <b v="0"/>
    <n v="0"/>
    <x v="5"/>
    <x v="0"/>
    <n v="0.2"/>
  </r>
  <r>
    <n v="591"/>
    <x v="26"/>
    <n v="1"/>
    <n v="0"/>
    <n v="1"/>
    <x v="19"/>
    <b v="0"/>
    <n v="0"/>
    <x v="5"/>
    <x v="0"/>
    <n v="0.2"/>
  </r>
  <r>
    <n v="592"/>
    <x v="26"/>
    <n v="1"/>
    <n v="0"/>
    <n v="1"/>
    <x v="20"/>
    <b v="0"/>
    <n v="0"/>
    <x v="5"/>
    <x v="0"/>
    <n v="0.18"/>
  </r>
  <r>
    <n v="593"/>
    <x v="26"/>
    <n v="1"/>
    <n v="0"/>
    <n v="1"/>
    <x v="21"/>
    <b v="0"/>
    <n v="0"/>
    <x v="5"/>
    <x v="0"/>
    <n v="0.18"/>
  </r>
  <r>
    <n v="594"/>
    <x v="26"/>
    <n v="1"/>
    <n v="0"/>
    <n v="1"/>
    <x v="22"/>
    <b v="0"/>
    <n v="0"/>
    <x v="5"/>
    <x v="0"/>
    <n v="0.18"/>
  </r>
  <r>
    <n v="595"/>
    <x v="26"/>
    <n v="1"/>
    <n v="0"/>
    <n v="1"/>
    <x v="23"/>
    <b v="0"/>
    <n v="0"/>
    <x v="5"/>
    <x v="0"/>
    <n v="0.18"/>
  </r>
  <r>
    <n v="596"/>
    <x v="27"/>
    <n v="1"/>
    <n v="0"/>
    <n v="1"/>
    <x v="0"/>
    <b v="0"/>
    <n v="0"/>
    <x v="6"/>
    <x v="1"/>
    <n v="0.2"/>
  </r>
  <r>
    <n v="597"/>
    <x v="27"/>
    <n v="1"/>
    <n v="0"/>
    <n v="1"/>
    <x v="1"/>
    <b v="0"/>
    <n v="0"/>
    <x v="6"/>
    <x v="1"/>
    <n v="0.2"/>
  </r>
  <r>
    <n v="598"/>
    <x v="27"/>
    <n v="1"/>
    <n v="0"/>
    <n v="1"/>
    <x v="2"/>
    <b v="0"/>
    <n v="0"/>
    <x v="6"/>
    <x v="1"/>
    <n v="0.2"/>
  </r>
  <r>
    <n v="599"/>
    <x v="27"/>
    <n v="1"/>
    <n v="0"/>
    <n v="1"/>
    <x v="3"/>
    <b v="0"/>
    <n v="0"/>
    <x v="6"/>
    <x v="1"/>
    <n v="0.2"/>
  </r>
  <r>
    <n v="600"/>
    <x v="27"/>
    <n v="1"/>
    <n v="0"/>
    <n v="1"/>
    <x v="5"/>
    <b v="0"/>
    <n v="0"/>
    <x v="6"/>
    <x v="1"/>
    <n v="0.18"/>
  </r>
  <r>
    <n v="601"/>
    <x v="27"/>
    <n v="1"/>
    <n v="0"/>
    <n v="1"/>
    <x v="6"/>
    <b v="0"/>
    <n v="0"/>
    <x v="6"/>
    <x v="1"/>
    <n v="0.18"/>
  </r>
  <r>
    <n v="602"/>
    <x v="27"/>
    <n v="1"/>
    <n v="0"/>
    <n v="1"/>
    <x v="7"/>
    <b v="0"/>
    <n v="0"/>
    <x v="6"/>
    <x v="1"/>
    <n v="0.16"/>
  </r>
  <r>
    <n v="603"/>
    <x v="27"/>
    <n v="1"/>
    <n v="0"/>
    <n v="1"/>
    <x v="8"/>
    <b v="0"/>
    <n v="0"/>
    <x v="6"/>
    <x v="1"/>
    <n v="0.16"/>
  </r>
  <r>
    <n v="604"/>
    <x v="27"/>
    <n v="1"/>
    <n v="0"/>
    <n v="1"/>
    <x v="9"/>
    <b v="0"/>
    <n v="0"/>
    <x v="6"/>
    <x v="2"/>
    <n v="0.18"/>
  </r>
  <r>
    <n v="605"/>
    <x v="27"/>
    <n v="1"/>
    <n v="0"/>
    <n v="1"/>
    <x v="10"/>
    <b v="0"/>
    <n v="0"/>
    <x v="6"/>
    <x v="2"/>
    <n v="0.18"/>
  </r>
  <r>
    <n v="606"/>
    <x v="27"/>
    <n v="1"/>
    <n v="0"/>
    <n v="1"/>
    <x v="11"/>
    <b v="0"/>
    <n v="0"/>
    <x v="6"/>
    <x v="2"/>
    <n v="0.18"/>
  </r>
  <r>
    <n v="607"/>
    <x v="27"/>
    <n v="1"/>
    <n v="0"/>
    <n v="1"/>
    <x v="12"/>
    <b v="0"/>
    <n v="0"/>
    <x v="6"/>
    <x v="2"/>
    <n v="0.18"/>
  </r>
  <r>
    <n v="608"/>
    <x v="27"/>
    <n v="1"/>
    <n v="0"/>
    <n v="1"/>
    <x v="13"/>
    <b v="0"/>
    <n v="0"/>
    <x v="6"/>
    <x v="2"/>
    <n v="0.18"/>
  </r>
  <r>
    <n v="609"/>
    <x v="27"/>
    <n v="1"/>
    <n v="0"/>
    <n v="1"/>
    <x v="14"/>
    <b v="0"/>
    <n v="0"/>
    <x v="6"/>
    <x v="2"/>
    <n v="0.22"/>
  </r>
  <r>
    <n v="610"/>
    <x v="27"/>
    <n v="1"/>
    <n v="0"/>
    <n v="1"/>
    <x v="15"/>
    <b v="0"/>
    <n v="0"/>
    <x v="6"/>
    <x v="1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61238-BD05-8547-9CF6-7A59AEDD1A5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ATE">
  <location ref="A3:B32" firstHeaderRow="1" firstDataRow="1" firstDataCol="1"/>
  <pivotFields count="11">
    <pivotField numFmtId="4" showAll="0"/>
    <pivotField axis="axisRow" numFmtId="164" showAll="0" sortType="ascending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umFmtId="4" showAll="0"/>
    <pivotField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dataField="1" numFmtId="4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EMPERATURE" fld="10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F9286-BDB9-7246-BA74-E79D616AA65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OUR">
  <location ref="A3:B28" firstHeaderRow="1" firstDataRow="1" firstDataCol="1"/>
  <pivotFields count="11">
    <pivotField numFmtId="4" showAll="0"/>
    <pivotField numFmtId="164" showAll="0"/>
    <pivotField numFmtId="4" showAll="0"/>
    <pivotField numFmtId="4" showAll="0"/>
    <pivotField numFmtId="4" showAll="0"/>
    <pivotField axis="axisRow" numFmtId="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numFmtId="4" showAll="0"/>
    <pivotField numFmtId="4" showAll="0"/>
    <pivotField numFmtId="4" showAll="0"/>
    <pivotField dataField="1" numFmtId="4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EMPERATURE" fld="10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E54CB-5B97-ED4B-B6A8-2AF25D6A517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eekday">
  <location ref="A3:B11" firstHeaderRow="1" firstDataRow="1" firstDataCol="1"/>
  <pivotFields count="11">
    <pivotField numFmtId="4" showAll="0"/>
    <pivotField numFmtId="164" showAll="0"/>
    <pivotField numFmtId="4" showAll="0"/>
    <pivotField numFmtId="4" showAll="0"/>
    <pivotField numFmtId="4" showAll="0"/>
    <pivotField numFmtId="4" showAll="0"/>
    <pivotField showAll="0"/>
    <pivotField numFmtId="4" showAll="0"/>
    <pivotField axis="axisRow" numFmtId="4" showAll="0">
      <items count="8">
        <item x="1"/>
        <item x="2"/>
        <item x="3"/>
        <item x="4"/>
        <item x="5"/>
        <item x="6"/>
        <item x="0"/>
        <item t="default"/>
      </items>
    </pivotField>
    <pivotField numFmtId="4" showAll="0">
      <items count="5">
        <item x="0"/>
        <item x="1"/>
        <item x="2"/>
        <item x="3"/>
        <item t="default"/>
      </items>
    </pivotField>
    <pivotField dataField="1" numFmtId="4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EMPERATURE" fld="10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2DF55-E547-E64C-9E1F-E0FB3EB3D87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eather">
  <location ref="A3:B8" firstHeaderRow="1" firstDataRow="1" firstDataCol="1"/>
  <pivotFields count="11">
    <pivotField numFmtId="4" showAll="0"/>
    <pivotField numFmtId="164"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4" showAll="0"/>
    <pivotField axis="axisRow" numFmtId="4" showAll="0">
      <items count="5">
        <item x="0"/>
        <item x="1"/>
        <item x="2"/>
        <item x="3"/>
        <item t="default"/>
      </items>
    </pivotField>
    <pivotField dataField="1" numFmtId="4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EMPERATURE" fld="10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E7738-57FF-E84A-BC01-65D8FB1A08FE}" name="Table1" displayName="Table1" ref="A1:T611" totalsRowShown="0" headerRowDxfId="24" dataDxfId="22" headerRowBorderDxfId="23" tableBorderDxfId="21" totalsRowBorderDxfId="20">
  <autoFilter ref="A1:T611" xr:uid="{E4BE7738-57FF-E84A-BC01-65D8FB1A08FE}"/>
  <tableColumns count="20">
    <tableColumn id="1" xr3:uid="{019C3889-210D-D84D-9121-B3EA0FDEC9C6}" name="INSTANT" dataDxfId="19"/>
    <tableColumn id="2" xr3:uid="{BB06523B-3078-AC4C-9C4B-CA2647EB21BF}" name="DATE" dataDxfId="18"/>
    <tableColumn id="12" xr3:uid="{B8173673-4145-5641-89B5-832E05CA3219}" name="YEAR" dataDxfId="17">
      <calculatedColumnFormula>RIGHT(TEXT(B3,"DD-MM-YYYY"),4)</calculatedColumnFormula>
    </tableColumn>
    <tableColumn id="13" xr3:uid="{5624DA34-53DE-A742-A1BA-431CAADF6876}" name="DAY" dataDxfId="16">
      <calculatedColumnFormula>LEFT(TEXT(B2,"DD-MM-YYYY"),2)</calculatedColumnFormula>
    </tableColumn>
    <tableColumn id="3" xr3:uid="{83BC6223-6345-9641-91A2-71EB5E825F46}" name="SEASON" dataDxfId="15"/>
    <tableColumn id="4" xr3:uid="{64BE6678-3C5F-7042-AB9B-159A8C45CEAD}" name="YEAR2" dataDxfId="14"/>
    <tableColumn id="5" xr3:uid="{9A58BEAA-A2E1-A942-8785-B600C1DFDDF0}" name="MONTH" dataDxfId="13"/>
    <tableColumn id="6" xr3:uid="{2EFF2576-B515-BE44-832F-3311CD57262A}" name="HOUR" dataDxfId="12"/>
    <tableColumn id="7" xr3:uid="{B4010D69-99E3-564A-B176-155E72F8BABB}" name="HOLIDAY" dataDxfId="11"/>
    <tableColumn id="11" xr3:uid="{862A380C-B03B-A344-8ACA-B99D353D37C5}" name="HOLIDAY2" dataDxfId="10">
      <calculatedColumnFormula>--Table1[[#This Row],[HOLIDAY]]</calculatedColumnFormula>
    </tableColumn>
    <tableColumn id="8" xr3:uid="{3D27DC7F-747F-E545-BC5F-2AB0CF78808C}" name="WEEKDAY" dataDxfId="9"/>
    <tableColumn id="9" xr3:uid="{0488E47B-23E1-7543-BF64-5CF615940491}" name="WEATHER" dataDxfId="8"/>
    <tableColumn id="15" xr3:uid="{93A3E264-8D6C-914A-AB6E-85EE5EB951DC}" name="LEN" dataDxfId="7">
      <calculatedColumnFormula>LEN(TEXT(Table1[[#This Row],[WEATHER]],"0"))</calculatedColumnFormula>
    </tableColumn>
    <tableColumn id="10" xr3:uid="{3F2D5A4A-F02B-2C4E-B6DB-36F6C96E7A71}" name="TEMPERATURE" dataDxfId="6"/>
    <tableColumn id="18" xr3:uid="{F7F0183E-64B4-1442-AFEF-8047EF3F5DF5}" name="APPARENT TEMPERATURE" dataDxfId="5">
      <calculatedColumnFormula>VLOOKUP(Table1[[#This Row],[INSTANT]],[1]dataset_2!$A:$G,2,FALSE)</calculatedColumnFormula>
    </tableColumn>
    <tableColumn id="19" xr3:uid="{D7C68CDF-DE04-F048-AB75-756AB5C3431C}" name="HUMIDITY" dataDxfId="4">
      <calculatedColumnFormula>VLOOKUP(Table1[[#This Row],[INSTANT]],[1]dataset_2!$A:$G,3,0)</calculatedColumnFormula>
    </tableColumn>
    <tableColumn id="17" xr3:uid="{75B45964-011A-834E-ABE6-9EDBDC6C8CFD}" name="WINDSPEED" dataDxfId="3">
      <calculatedColumnFormula>VLOOKUP(Table1[[#This Row],[INSTANT]],[1]dataset_2!$A:$D,4,FALSE)</calculatedColumnFormula>
    </tableColumn>
    <tableColumn id="21" xr3:uid="{D11BD3F6-4222-CC49-9675-E89CFDF4FC17}" name="CASUAL USERS" dataDxfId="2">
      <calculatedColumnFormula>VLOOKUP(Table1[[#This Row],[INSTANT]],[1]dataset_2!$A:$G,5,0)</calculatedColumnFormula>
    </tableColumn>
    <tableColumn id="22" xr3:uid="{EE40625C-C55F-A440-9706-C83DDF26B5A5}" name="REGISTERED USERS" dataDxfId="1">
      <calculatedColumnFormula>VLOOKUP(Table1[[#This Row],[INSTANT]],[1]dataset_2!$A:$G,6,0)</calculatedColumnFormula>
    </tableColumn>
    <tableColumn id="23" xr3:uid="{1E13A8A1-7861-8745-BF82-983BE0A2747C}" name="TOTAL COUNT" dataDxfId="0">
      <calculatedColumnFormula>VLOOKUP(Table1[[#This Row],[INSTANT]],[1]dataset_2!$A:$G,7,0)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623"/>
  <sheetViews>
    <sheetView tabSelected="1" workbookViewId="0">
      <pane ySplit="1" topLeftCell="A2" activePane="bottomLeft" state="frozen"/>
      <selection pane="bottomLeft" activeCell="O2" sqref="O2"/>
    </sheetView>
  </sheetViews>
  <sheetFormatPr baseColWidth="10" defaultColWidth="12.6640625" defaultRowHeight="15.75" customHeight="1" x14ac:dyDescent="0.15"/>
  <cols>
    <col min="1" max="1" width="12.6640625" style="31"/>
    <col min="2" max="2" width="10.1640625" style="28" bestFit="1" customWidth="1"/>
    <col min="3" max="4" width="12.6640625" style="5"/>
    <col min="5" max="9" width="12.6640625" style="3"/>
    <col min="10" max="10" width="12.6640625" style="23"/>
    <col min="11" max="11" width="12.6640625" style="4"/>
    <col min="12" max="13" width="12.6640625" style="3"/>
    <col min="14" max="14" width="16.33203125" style="6" bestFit="1" customWidth="1"/>
    <col min="16" max="16" width="11.6640625" style="2" bestFit="1" customWidth="1"/>
    <col min="17" max="17" width="13.83203125" style="2" bestFit="1" customWidth="1"/>
    <col min="18" max="18" width="16.83203125" style="29" bestFit="1" customWidth="1"/>
    <col min="19" max="20" width="21.1640625" style="2" bestFit="1" customWidth="1"/>
    <col min="21" max="21" width="15.5" style="2" bestFit="1" customWidth="1"/>
    <col min="22" max="16384" width="12.6640625" style="2"/>
  </cols>
  <sheetData>
    <row r="1" spans="1:20" ht="15.75" customHeight="1" x14ac:dyDescent="0.15">
      <c r="A1" s="30" t="s">
        <v>2</v>
      </c>
      <c r="B1" s="26" t="s">
        <v>3</v>
      </c>
      <c r="C1" s="17" t="s">
        <v>5</v>
      </c>
      <c r="D1" s="17" t="s">
        <v>39</v>
      </c>
      <c r="E1" s="18" t="s">
        <v>4</v>
      </c>
      <c r="F1" s="18" t="s">
        <v>40</v>
      </c>
      <c r="G1" s="18" t="s">
        <v>6</v>
      </c>
      <c r="H1" s="18" t="s">
        <v>7</v>
      </c>
      <c r="I1" s="18" t="s">
        <v>0</v>
      </c>
      <c r="J1" s="21" t="s">
        <v>1</v>
      </c>
      <c r="K1" s="19" t="s">
        <v>8</v>
      </c>
      <c r="L1" s="18" t="s">
        <v>9</v>
      </c>
      <c r="M1" s="24" t="s">
        <v>41</v>
      </c>
      <c r="N1" s="20" t="s">
        <v>10</v>
      </c>
      <c r="O1" s="34" t="s">
        <v>44</v>
      </c>
      <c r="P1" s="34" t="s">
        <v>45</v>
      </c>
      <c r="Q1" s="33" t="s">
        <v>43</v>
      </c>
      <c r="R1" s="34" t="s">
        <v>46</v>
      </c>
      <c r="S1" s="34" t="s">
        <v>47</v>
      </c>
      <c r="T1" s="25" t="s">
        <v>48</v>
      </c>
    </row>
    <row r="2" spans="1:20" ht="15.75" customHeight="1" x14ac:dyDescent="0.15">
      <c r="A2" s="35">
        <v>1</v>
      </c>
      <c r="B2" s="27">
        <v>40544</v>
      </c>
      <c r="C2" s="8" t="str">
        <f t="shared" ref="C2:C65" si="0">RIGHT(TEXT(B3,"DD-MM-YYYY"),4)</f>
        <v>2011</v>
      </c>
      <c r="D2" s="8" t="str">
        <f t="shared" ref="D2:D65" si="1">LEFT(TEXT(B2,"DD-MM-YYYY"),2)</f>
        <v>01</v>
      </c>
      <c r="E2" s="7">
        <v>1</v>
      </c>
      <c r="F2" s="7">
        <v>0</v>
      </c>
      <c r="G2" s="7">
        <v>1</v>
      </c>
      <c r="H2" s="7">
        <v>0</v>
      </c>
      <c r="I2" s="7" t="b">
        <v>0</v>
      </c>
      <c r="J2" s="22">
        <f>--Table1[[#This Row],[HOLIDAY]]</f>
        <v>0</v>
      </c>
      <c r="K2" s="9">
        <v>6</v>
      </c>
      <c r="L2" s="7">
        <v>1</v>
      </c>
      <c r="M2" s="7">
        <f>LEN(TEXT(Table1[[#This Row],[WEATHER]],"0"))</f>
        <v>1</v>
      </c>
      <c r="N2" s="36">
        <v>0.24</v>
      </c>
      <c r="O2" s="37">
        <f>VLOOKUP(Table1[[#This Row],[INSTANT]],[1]dataset_2!$A:$G,2,FALSE)</f>
        <v>0.28789999999999999</v>
      </c>
      <c r="P2" s="37">
        <f>VLOOKUP(Table1[[#This Row],[INSTANT]],[1]dataset_2!$A:$G,3,0)</f>
        <v>0.81</v>
      </c>
      <c r="Q2" s="37">
        <f>VLOOKUP(Table1[[#This Row],[INSTANT]],[1]dataset_2!$A:$D,4,FALSE)</f>
        <v>0</v>
      </c>
      <c r="R2" s="37">
        <f>VLOOKUP(Table1[[#This Row],[INSTANT]],[1]dataset_2!$A:$G,5,0)</f>
        <v>3</v>
      </c>
      <c r="S2" s="38">
        <f>VLOOKUP(Table1[[#This Row],[INSTANT]],[1]dataset_2!$A:$G,6,0)</f>
        <v>13</v>
      </c>
      <c r="T2" s="38">
        <f>VLOOKUP(Table1[[#This Row],[INSTANT]],[1]dataset_2!$A:$G,7,0)</f>
        <v>16</v>
      </c>
    </row>
    <row r="3" spans="1:20" ht="15.75" customHeight="1" x14ac:dyDescent="0.15">
      <c r="A3" s="35">
        <v>2</v>
      </c>
      <c r="B3" s="27">
        <v>40544</v>
      </c>
      <c r="C3" s="8" t="str">
        <f t="shared" si="0"/>
        <v>2011</v>
      </c>
      <c r="D3" s="8" t="str">
        <f t="shared" si="1"/>
        <v>01</v>
      </c>
      <c r="E3" s="7">
        <v>1</v>
      </c>
      <c r="F3" s="7">
        <v>0</v>
      </c>
      <c r="G3" s="7">
        <v>1</v>
      </c>
      <c r="H3" s="7">
        <v>1</v>
      </c>
      <c r="I3" s="7" t="b">
        <v>0</v>
      </c>
      <c r="J3" s="22">
        <f>--Table1[[#This Row],[HOLIDAY]]</f>
        <v>0</v>
      </c>
      <c r="K3" s="9">
        <v>6</v>
      </c>
      <c r="L3" s="7">
        <v>1</v>
      </c>
      <c r="M3" s="7">
        <f>LEN(TEXT(Table1[[#This Row],[WEATHER]],"0"))</f>
        <v>1</v>
      </c>
      <c r="N3" s="36">
        <v>0.22</v>
      </c>
      <c r="O3" s="37">
        <f>VLOOKUP(Table1[[#This Row],[INSTANT]],[1]dataset_2!$A:$G,2,FALSE)</f>
        <v>0.2727</v>
      </c>
      <c r="P3" s="37">
        <f>VLOOKUP(Table1[[#This Row],[INSTANT]],[1]dataset_2!$A:$G,3,0)</f>
        <v>0.8</v>
      </c>
      <c r="Q3" s="37">
        <f>VLOOKUP(Table1[[#This Row],[INSTANT]],[1]dataset_2!$A:$D,4,FALSE)</f>
        <v>0</v>
      </c>
      <c r="R3" s="37">
        <f>VLOOKUP(Table1[[#This Row],[INSTANT]],[1]dataset_2!$A:$G,5,0)</f>
        <v>8</v>
      </c>
      <c r="S3" s="38">
        <f>VLOOKUP(Table1[[#This Row],[INSTANT]],[1]dataset_2!$A:$G,6,0)</f>
        <v>32</v>
      </c>
      <c r="T3" s="38">
        <f>VLOOKUP(Table1[[#This Row],[INSTANT]],[1]dataset_2!$A:$G,7,0)</f>
        <v>40</v>
      </c>
    </row>
    <row r="4" spans="1:20" ht="15.75" customHeight="1" x14ac:dyDescent="0.15">
      <c r="A4" s="35">
        <v>3</v>
      </c>
      <c r="B4" s="27">
        <v>40544</v>
      </c>
      <c r="C4" s="8" t="str">
        <f t="shared" si="0"/>
        <v>2011</v>
      </c>
      <c r="D4" s="8" t="str">
        <f t="shared" si="1"/>
        <v>01</v>
      </c>
      <c r="E4" s="7">
        <v>1</v>
      </c>
      <c r="F4" s="7">
        <v>0</v>
      </c>
      <c r="G4" s="7">
        <v>1</v>
      </c>
      <c r="H4" s="7">
        <v>2</v>
      </c>
      <c r="I4" s="7" t="b">
        <v>0</v>
      </c>
      <c r="J4" s="22">
        <f>--Table1[[#This Row],[HOLIDAY]]</f>
        <v>0</v>
      </c>
      <c r="K4" s="9">
        <v>6</v>
      </c>
      <c r="L4" s="7">
        <v>1</v>
      </c>
      <c r="M4" s="7">
        <f>LEN(TEXT(Table1[[#This Row],[WEATHER]],"0"))</f>
        <v>1</v>
      </c>
      <c r="N4" s="36">
        <v>0.22</v>
      </c>
      <c r="O4" s="37">
        <f>VLOOKUP(Table1[[#This Row],[INSTANT]],[1]dataset_2!$A:$G,2,FALSE)</f>
        <v>0.2727</v>
      </c>
      <c r="P4" s="37">
        <f>VLOOKUP(Table1[[#This Row],[INSTANT]],[1]dataset_2!$A:$G,3,0)</f>
        <v>0.8</v>
      </c>
      <c r="Q4" s="37">
        <f>VLOOKUP(Table1[[#This Row],[INSTANT]],[1]dataset_2!$A:$D,4,FALSE)</f>
        <v>0</v>
      </c>
      <c r="R4" s="37">
        <f>VLOOKUP(Table1[[#This Row],[INSTANT]],[1]dataset_2!$A:$G,5,0)</f>
        <v>5</v>
      </c>
      <c r="S4" s="38">
        <f>VLOOKUP(Table1[[#This Row],[INSTANT]],[1]dataset_2!$A:$G,6,0)</f>
        <v>27</v>
      </c>
      <c r="T4" s="38">
        <f>VLOOKUP(Table1[[#This Row],[INSTANT]],[1]dataset_2!$A:$G,7,0)</f>
        <v>32</v>
      </c>
    </row>
    <row r="5" spans="1:20" ht="15.75" customHeight="1" x14ac:dyDescent="0.15">
      <c r="A5" s="35">
        <v>4</v>
      </c>
      <c r="B5" s="27">
        <v>40544</v>
      </c>
      <c r="C5" s="8" t="str">
        <f t="shared" si="0"/>
        <v>2011</v>
      </c>
      <c r="D5" s="8" t="str">
        <f t="shared" si="1"/>
        <v>01</v>
      </c>
      <c r="E5" s="7">
        <v>1</v>
      </c>
      <c r="F5" s="7">
        <v>0</v>
      </c>
      <c r="G5" s="7">
        <v>1</v>
      </c>
      <c r="H5" s="7">
        <v>3</v>
      </c>
      <c r="I5" s="7" t="b">
        <v>0</v>
      </c>
      <c r="J5" s="22">
        <f>--Table1[[#This Row],[HOLIDAY]]</f>
        <v>0</v>
      </c>
      <c r="K5" s="9">
        <v>6</v>
      </c>
      <c r="L5" s="7">
        <v>1</v>
      </c>
      <c r="M5" s="7">
        <f>LEN(TEXT(Table1[[#This Row],[WEATHER]],"0"))</f>
        <v>1</v>
      </c>
      <c r="N5" s="36">
        <v>0.24</v>
      </c>
      <c r="O5" s="37">
        <f>VLOOKUP(Table1[[#This Row],[INSTANT]],[1]dataset_2!$A:$G,2,FALSE)</f>
        <v>0.28789999999999999</v>
      </c>
      <c r="P5" s="37">
        <f>VLOOKUP(Table1[[#This Row],[INSTANT]],[1]dataset_2!$A:$G,3,0)</f>
        <v>0.75</v>
      </c>
      <c r="Q5" s="37">
        <f>VLOOKUP(Table1[[#This Row],[INSTANT]],[1]dataset_2!$A:$D,4,FALSE)</f>
        <v>0</v>
      </c>
      <c r="R5" s="37">
        <f>VLOOKUP(Table1[[#This Row],[INSTANT]],[1]dataset_2!$A:$G,5,0)</f>
        <v>3</v>
      </c>
      <c r="S5" s="38">
        <f>VLOOKUP(Table1[[#This Row],[INSTANT]],[1]dataset_2!$A:$G,6,0)</f>
        <v>10</v>
      </c>
      <c r="T5" s="38">
        <f>VLOOKUP(Table1[[#This Row],[INSTANT]],[1]dataset_2!$A:$G,7,0)</f>
        <v>13</v>
      </c>
    </row>
    <row r="6" spans="1:20" ht="15.75" customHeight="1" x14ac:dyDescent="0.15">
      <c r="A6" s="35">
        <v>5</v>
      </c>
      <c r="B6" s="27">
        <v>40544</v>
      </c>
      <c r="C6" s="8" t="str">
        <f t="shared" si="0"/>
        <v>2011</v>
      </c>
      <c r="D6" s="8" t="str">
        <f t="shared" si="1"/>
        <v>01</v>
      </c>
      <c r="E6" s="7">
        <v>1</v>
      </c>
      <c r="F6" s="7">
        <v>0</v>
      </c>
      <c r="G6" s="7">
        <v>1</v>
      </c>
      <c r="H6" s="7">
        <v>4</v>
      </c>
      <c r="I6" s="7" t="b">
        <v>0</v>
      </c>
      <c r="J6" s="22">
        <f>--Table1[[#This Row],[HOLIDAY]]</f>
        <v>0</v>
      </c>
      <c r="K6" s="9">
        <v>6</v>
      </c>
      <c r="L6" s="7">
        <v>1</v>
      </c>
      <c r="M6" s="7">
        <f>LEN(TEXT(Table1[[#This Row],[WEATHER]],"0"))</f>
        <v>1</v>
      </c>
      <c r="N6" s="36">
        <v>0.24</v>
      </c>
      <c r="O6" s="37">
        <f>VLOOKUP(Table1[[#This Row],[INSTANT]],[1]dataset_2!$A:$G,2,FALSE)</f>
        <v>0.28789999999999999</v>
      </c>
      <c r="P6" s="37">
        <f>VLOOKUP(Table1[[#This Row],[INSTANT]],[1]dataset_2!$A:$G,3,0)</f>
        <v>0.75</v>
      </c>
      <c r="Q6" s="37">
        <f>VLOOKUP(Table1[[#This Row],[INSTANT]],[1]dataset_2!$A:$D,4,FALSE)</f>
        <v>0</v>
      </c>
      <c r="R6" s="37">
        <f>VLOOKUP(Table1[[#This Row],[INSTANT]],[1]dataset_2!$A:$G,5,0)</f>
        <v>0</v>
      </c>
      <c r="S6" s="38">
        <f>VLOOKUP(Table1[[#This Row],[INSTANT]],[1]dataset_2!$A:$G,6,0)</f>
        <v>1</v>
      </c>
      <c r="T6" s="38">
        <f>VLOOKUP(Table1[[#This Row],[INSTANT]],[1]dataset_2!$A:$G,7,0)</f>
        <v>1</v>
      </c>
    </row>
    <row r="7" spans="1:20" ht="15.75" customHeight="1" x14ac:dyDescent="0.15">
      <c r="A7" s="35">
        <v>6</v>
      </c>
      <c r="B7" s="27">
        <v>40544</v>
      </c>
      <c r="C7" s="8" t="str">
        <f t="shared" si="0"/>
        <v>2011</v>
      </c>
      <c r="D7" s="8" t="str">
        <f t="shared" si="1"/>
        <v>01</v>
      </c>
      <c r="E7" s="7">
        <v>1</v>
      </c>
      <c r="F7" s="7">
        <v>0</v>
      </c>
      <c r="G7" s="7">
        <v>1</v>
      </c>
      <c r="H7" s="7">
        <v>5</v>
      </c>
      <c r="I7" s="7" t="b">
        <v>0</v>
      </c>
      <c r="J7" s="22">
        <f>--Table1[[#This Row],[HOLIDAY]]</f>
        <v>0</v>
      </c>
      <c r="K7" s="9">
        <v>6</v>
      </c>
      <c r="L7" s="7">
        <v>2</v>
      </c>
      <c r="M7" s="7">
        <f>LEN(TEXT(Table1[[#This Row],[WEATHER]],"0"))</f>
        <v>1</v>
      </c>
      <c r="N7" s="36">
        <v>0.24</v>
      </c>
      <c r="O7" s="37">
        <f>VLOOKUP(Table1[[#This Row],[INSTANT]],[1]dataset_2!$A:$G,2,FALSE)</f>
        <v>0.2576</v>
      </c>
      <c r="P7" s="37">
        <f>VLOOKUP(Table1[[#This Row],[INSTANT]],[1]dataset_2!$A:$G,3,0)</f>
        <v>0.75</v>
      </c>
      <c r="Q7" s="37">
        <f>VLOOKUP(Table1[[#This Row],[INSTANT]],[1]dataset_2!$A:$D,4,FALSE)</f>
        <v>8.9599999999999999E-2</v>
      </c>
      <c r="R7" s="37">
        <f>VLOOKUP(Table1[[#This Row],[INSTANT]],[1]dataset_2!$A:$G,5,0)</f>
        <v>0</v>
      </c>
      <c r="S7" s="38">
        <f>VLOOKUP(Table1[[#This Row],[INSTANT]],[1]dataset_2!$A:$G,6,0)</f>
        <v>1</v>
      </c>
      <c r="T7" s="38">
        <f>VLOOKUP(Table1[[#This Row],[INSTANT]],[1]dataset_2!$A:$G,7,0)</f>
        <v>1</v>
      </c>
    </row>
    <row r="8" spans="1:20" ht="15.75" customHeight="1" x14ac:dyDescent="0.15">
      <c r="A8" s="35">
        <v>7</v>
      </c>
      <c r="B8" s="27">
        <v>40544</v>
      </c>
      <c r="C8" s="8" t="str">
        <f t="shared" si="0"/>
        <v>2011</v>
      </c>
      <c r="D8" s="8" t="str">
        <f t="shared" si="1"/>
        <v>01</v>
      </c>
      <c r="E8" s="7">
        <v>1</v>
      </c>
      <c r="F8" s="7">
        <v>0</v>
      </c>
      <c r="G8" s="7">
        <v>1</v>
      </c>
      <c r="H8" s="7">
        <v>6</v>
      </c>
      <c r="I8" s="7" t="b">
        <v>0</v>
      </c>
      <c r="J8" s="22">
        <f>--Table1[[#This Row],[HOLIDAY]]</f>
        <v>0</v>
      </c>
      <c r="K8" s="9">
        <v>6</v>
      </c>
      <c r="L8" s="7">
        <v>1</v>
      </c>
      <c r="M8" s="7">
        <f>LEN(TEXT(Table1[[#This Row],[WEATHER]],"0"))</f>
        <v>1</v>
      </c>
      <c r="N8" s="36">
        <v>0.22</v>
      </c>
      <c r="O8" s="37">
        <f>VLOOKUP(Table1[[#This Row],[INSTANT]],[1]dataset_2!$A:$G,2,FALSE)</f>
        <v>0.2727</v>
      </c>
      <c r="P8" s="37">
        <f>VLOOKUP(Table1[[#This Row],[INSTANT]],[1]dataset_2!$A:$G,3,0)</f>
        <v>0.8</v>
      </c>
      <c r="Q8" s="37">
        <f>VLOOKUP(Table1[[#This Row],[INSTANT]],[1]dataset_2!$A:$D,4,FALSE)</f>
        <v>0</v>
      </c>
      <c r="R8" s="37">
        <f>VLOOKUP(Table1[[#This Row],[INSTANT]],[1]dataset_2!$A:$G,5,0)</f>
        <v>2</v>
      </c>
      <c r="S8" s="38">
        <f>VLOOKUP(Table1[[#This Row],[INSTANT]],[1]dataset_2!$A:$G,6,0)</f>
        <v>0</v>
      </c>
      <c r="T8" s="38">
        <f>VLOOKUP(Table1[[#This Row],[INSTANT]],[1]dataset_2!$A:$G,7,0)</f>
        <v>2</v>
      </c>
    </row>
    <row r="9" spans="1:20" ht="15.75" customHeight="1" x14ac:dyDescent="0.15">
      <c r="A9" s="35">
        <v>8</v>
      </c>
      <c r="B9" s="27">
        <v>40544</v>
      </c>
      <c r="C9" s="8" t="str">
        <f t="shared" si="0"/>
        <v>2011</v>
      </c>
      <c r="D9" s="8" t="str">
        <f t="shared" si="1"/>
        <v>01</v>
      </c>
      <c r="E9" s="7">
        <v>1</v>
      </c>
      <c r="F9" s="7">
        <v>0</v>
      </c>
      <c r="G9" s="7">
        <v>1</v>
      </c>
      <c r="H9" s="7">
        <v>7</v>
      </c>
      <c r="I9" s="7" t="b">
        <v>0</v>
      </c>
      <c r="J9" s="22">
        <f>--Table1[[#This Row],[HOLIDAY]]</f>
        <v>0</v>
      </c>
      <c r="K9" s="9">
        <v>6</v>
      </c>
      <c r="L9" s="7">
        <v>1</v>
      </c>
      <c r="M9" s="7">
        <f>LEN(TEXT(Table1[[#This Row],[WEATHER]],"0"))</f>
        <v>1</v>
      </c>
      <c r="N9" s="36">
        <v>0.2</v>
      </c>
      <c r="O9" s="37">
        <f>VLOOKUP(Table1[[#This Row],[INSTANT]],[1]dataset_2!$A:$G,2,FALSE)</f>
        <v>0.2576</v>
      </c>
      <c r="P9" s="37">
        <f>VLOOKUP(Table1[[#This Row],[INSTANT]],[1]dataset_2!$A:$G,3,0)</f>
        <v>0.86</v>
      </c>
      <c r="Q9" s="37">
        <f>VLOOKUP(Table1[[#This Row],[INSTANT]],[1]dataset_2!$A:$D,4,FALSE)</f>
        <v>0</v>
      </c>
      <c r="R9" s="37">
        <f>VLOOKUP(Table1[[#This Row],[INSTANT]],[1]dataset_2!$A:$G,5,0)</f>
        <v>1</v>
      </c>
      <c r="S9" s="38">
        <f>VLOOKUP(Table1[[#This Row],[INSTANT]],[1]dataset_2!$A:$G,6,0)</f>
        <v>2</v>
      </c>
      <c r="T9" s="38">
        <f>VLOOKUP(Table1[[#This Row],[INSTANT]],[1]dataset_2!$A:$G,7,0)</f>
        <v>3</v>
      </c>
    </row>
    <row r="10" spans="1:20" ht="15.75" customHeight="1" x14ac:dyDescent="0.15">
      <c r="A10" s="35">
        <v>9</v>
      </c>
      <c r="B10" s="27">
        <v>40544</v>
      </c>
      <c r="C10" s="8" t="str">
        <f t="shared" si="0"/>
        <v>2011</v>
      </c>
      <c r="D10" s="8" t="str">
        <f t="shared" si="1"/>
        <v>01</v>
      </c>
      <c r="E10" s="7">
        <v>1</v>
      </c>
      <c r="F10" s="7">
        <v>0</v>
      </c>
      <c r="G10" s="7">
        <v>1</v>
      </c>
      <c r="H10" s="7">
        <v>8</v>
      </c>
      <c r="I10" s="7" t="b">
        <v>0</v>
      </c>
      <c r="J10" s="22">
        <f>--Table1[[#This Row],[HOLIDAY]]</f>
        <v>0</v>
      </c>
      <c r="K10" s="9">
        <v>6</v>
      </c>
      <c r="L10" s="7">
        <v>1</v>
      </c>
      <c r="M10" s="7">
        <f>LEN(TEXT(Table1[[#This Row],[WEATHER]],"0"))</f>
        <v>1</v>
      </c>
      <c r="N10" s="36">
        <v>0.24</v>
      </c>
      <c r="O10" s="37">
        <f>VLOOKUP(Table1[[#This Row],[INSTANT]],[1]dataset_2!$A:$G,2,FALSE)</f>
        <v>0.34849999999999998</v>
      </c>
      <c r="P10" s="37">
        <f>VLOOKUP(Table1[[#This Row],[INSTANT]],[1]dataset_2!$A:$G,3,0)</f>
        <v>0.76</v>
      </c>
      <c r="Q10" s="37">
        <f>VLOOKUP(Table1[[#This Row],[INSTANT]],[1]dataset_2!$A:$D,4,FALSE)</f>
        <v>0</v>
      </c>
      <c r="R10" s="37">
        <f>VLOOKUP(Table1[[#This Row],[INSTANT]],[1]dataset_2!$A:$G,5,0)</f>
        <v>8</v>
      </c>
      <c r="S10" s="38">
        <f>VLOOKUP(Table1[[#This Row],[INSTANT]],[1]dataset_2!$A:$G,6,0)</f>
        <v>6</v>
      </c>
      <c r="T10" s="38">
        <f>VLOOKUP(Table1[[#This Row],[INSTANT]],[1]dataset_2!$A:$G,7,0)</f>
        <v>14</v>
      </c>
    </row>
    <row r="11" spans="1:20" ht="15.75" customHeight="1" x14ac:dyDescent="0.15">
      <c r="A11" s="35">
        <v>10</v>
      </c>
      <c r="B11" s="27">
        <v>40544</v>
      </c>
      <c r="C11" s="8" t="str">
        <f t="shared" si="0"/>
        <v>2011</v>
      </c>
      <c r="D11" s="8" t="str">
        <f t="shared" si="1"/>
        <v>01</v>
      </c>
      <c r="E11" s="7">
        <v>1</v>
      </c>
      <c r="F11" s="7">
        <v>0</v>
      </c>
      <c r="G11" s="7">
        <v>1</v>
      </c>
      <c r="H11" s="7">
        <v>9</v>
      </c>
      <c r="I11" s="7" t="b">
        <v>0</v>
      </c>
      <c r="J11" s="22">
        <f>--Table1[[#This Row],[HOLIDAY]]</f>
        <v>0</v>
      </c>
      <c r="K11" s="9">
        <v>6</v>
      </c>
      <c r="L11" s="7">
        <v>1</v>
      </c>
      <c r="M11" s="7">
        <f>LEN(TEXT(Table1[[#This Row],[WEATHER]],"0"))</f>
        <v>1</v>
      </c>
      <c r="N11" s="36">
        <v>0.32</v>
      </c>
      <c r="O11" s="37">
        <f>VLOOKUP(Table1[[#This Row],[INSTANT]],[1]dataset_2!$A:$G,2,FALSE)</f>
        <v>0.39389999999999997</v>
      </c>
      <c r="P11" s="37">
        <f>VLOOKUP(Table1[[#This Row],[INSTANT]],[1]dataset_2!$A:$G,3,0)</f>
        <v>0.76</v>
      </c>
      <c r="Q11" s="37">
        <f>VLOOKUP(Table1[[#This Row],[INSTANT]],[1]dataset_2!$A:$D,4,FALSE)</f>
        <v>0.25369999999999998</v>
      </c>
      <c r="R11" s="37">
        <f>VLOOKUP(Table1[[#This Row],[INSTANT]],[1]dataset_2!$A:$G,5,0)</f>
        <v>12</v>
      </c>
      <c r="S11" s="38">
        <f>VLOOKUP(Table1[[#This Row],[INSTANT]],[1]dataset_2!$A:$G,6,0)</f>
        <v>24</v>
      </c>
      <c r="T11" s="38">
        <f>VLOOKUP(Table1[[#This Row],[INSTANT]],[1]dataset_2!$A:$G,7,0)</f>
        <v>36</v>
      </c>
    </row>
    <row r="12" spans="1:20" ht="15.75" customHeight="1" x14ac:dyDescent="0.15">
      <c r="A12" s="35">
        <v>11</v>
      </c>
      <c r="B12" s="27">
        <v>40544</v>
      </c>
      <c r="C12" s="8" t="str">
        <f t="shared" si="0"/>
        <v>2011</v>
      </c>
      <c r="D12" s="8" t="str">
        <f t="shared" si="1"/>
        <v>01</v>
      </c>
      <c r="E12" s="7">
        <v>1</v>
      </c>
      <c r="F12" s="7">
        <v>0</v>
      </c>
      <c r="G12" s="7">
        <v>1</v>
      </c>
      <c r="H12" s="7">
        <v>10</v>
      </c>
      <c r="I12" s="7" t="b">
        <v>0</v>
      </c>
      <c r="J12" s="22">
        <f>--Table1[[#This Row],[HOLIDAY]]</f>
        <v>0</v>
      </c>
      <c r="K12" s="9">
        <v>6</v>
      </c>
      <c r="L12" s="7">
        <v>1</v>
      </c>
      <c r="M12" s="7">
        <f>LEN(TEXT(Table1[[#This Row],[WEATHER]],"0"))</f>
        <v>1</v>
      </c>
      <c r="N12" s="36">
        <v>0.38</v>
      </c>
      <c r="O12" s="37">
        <f>VLOOKUP(Table1[[#This Row],[INSTANT]],[1]dataset_2!$A:$G,2,FALSE)</f>
        <v>0.33329999999999999</v>
      </c>
      <c r="P12" s="37">
        <f>VLOOKUP(Table1[[#This Row],[INSTANT]],[1]dataset_2!$A:$G,3,0)</f>
        <v>0.81</v>
      </c>
      <c r="Q12" s="37">
        <f>VLOOKUP(Table1[[#This Row],[INSTANT]],[1]dataset_2!$A:$D,4,FALSE)</f>
        <v>0.28360000000000002</v>
      </c>
      <c r="R12" s="37">
        <f>VLOOKUP(Table1[[#This Row],[INSTANT]],[1]dataset_2!$A:$G,5,0)</f>
        <v>26</v>
      </c>
      <c r="S12" s="38">
        <f>VLOOKUP(Table1[[#This Row],[INSTANT]],[1]dataset_2!$A:$G,6,0)</f>
        <v>30</v>
      </c>
      <c r="T12" s="38">
        <f>VLOOKUP(Table1[[#This Row],[INSTANT]],[1]dataset_2!$A:$G,7,0)</f>
        <v>56</v>
      </c>
    </row>
    <row r="13" spans="1:20" ht="15.75" customHeight="1" x14ac:dyDescent="0.15">
      <c r="A13" s="35">
        <v>12</v>
      </c>
      <c r="B13" s="27">
        <v>40544</v>
      </c>
      <c r="C13" s="8" t="str">
        <f t="shared" si="0"/>
        <v>2011</v>
      </c>
      <c r="D13" s="8" t="str">
        <f t="shared" si="1"/>
        <v>01</v>
      </c>
      <c r="E13" s="7">
        <v>1</v>
      </c>
      <c r="F13" s="7">
        <v>0</v>
      </c>
      <c r="G13" s="7">
        <v>1</v>
      </c>
      <c r="H13" s="7">
        <v>11</v>
      </c>
      <c r="I13" s="7" t="b">
        <v>0</v>
      </c>
      <c r="J13" s="22">
        <f>--Table1[[#This Row],[HOLIDAY]]</f>
        <v>0</v>
      </c>
      <c r="K13" s="9">
        <v>6</v>
      </c>
      <c r="L13" s="7">
        <v>1</v>
      </c>
      <c r="M13" s="7">
        <f>LEN(TEXT(Table1[[#This Row],[WEATHER]],"0"))</f>
        <v>1</v>
      </c>
      <c r="N13" s="36">
        <v>0.36</v>
      </c>
      <c r="O13" s="37">
        <f>VLOOKUP(Table1[[#This Row],[INSTANT]],[1]dataset_2!$A:$G,2,FALSE)</f>
        <v>0.42420000000000002</v>
      </c>
      <c r="P13" s="37">
        <f>VLOOKUP(Table1[[#This Row],[INSTANT]],[1]dataset_2!$A:$G,3,0)</f>
        <v>0.77</v>
      </c>
      <c r="Q13" s="37">
        <f>VLOOKUP(Table1[[#This Row],[INSTANT]],[1]dataset_2!$A:$D,4,FALSE)</f>
        <v>0.28360000000000002</v>
      </c>
      <c r="R13" s="37">
        <f>VLOOKUP(Table1[[#This Row],[INSTANT]],[1]dataset_2!$A:$G,5,0)</f>
        <v>29</v>
      </c>
      <c r="S13" s="38">
        <f>VLOOKUP(Table1[[#This Row],[INSTANT]],[1]dataset_2!$A:$G,6,0)</f>
        <v>55</v>
      </c>
      <c r="T13" s="38">
        <f>VLOOKUP(Table1[[#This Row],[INSTANT]],[1]dataset_2!$A:$G,7,0)</f>
        <v>84</v>
      </c>
    </row>
    <row r="14" spans="1:20" ht="15.75" customHeight="1" x14ac:dyDescent="0.15">
      <c r="A14" s="35">
        <v>13</v>
      </c>
      <c r="B14" s="27">
        <v>40544</v>
      </c>
      <c r="C14" s="8" t="str">
        <f t="shared" si="0"/>
        <v>2011</v>
      </c>
      <c r="D14" s="8" t="str">
        <f t="shared" si="1"/>
        <v>01</v>
      </c>
      <c r="E14" s="7">
        <v>1</v>
      </c>
      <c r="F14" s="7">
        <v>0</v>
      </c>
      <c r="G14" s="7">
        <v>1</v>
      </c>
      <c r="H14" s="7">
        <v>12</v>
      </c>
      <c r="I14" s="7" t="b">
        <v>0</v>
      </c>
      <c r="J14" s="22">
        <f>--Table1[[#This Row],[HOLIDAY]]</f>
        <v>0</v>
      </c>
      <c r="K14" s="9">
        <v>6</v>
      </c>
      <c r="L14" s="7">
        <v>1</v>
      </c>
      <c r="M14" s="7">
        <f>LEN(TEXT(Table1[[#This Row],[WEATHER]],"0"))</f>
        <v>1</v>
      </c>
      <c r="N14" s="36">
        <v>0.42</v>
      </c>
      <c r="O14" s="37">
        <f>VLOOKUP(Table1[[#This Row],[INSTANT]],[1]dataset_2!$A:$G,2,FALSE)</f>
        <v>0.45450000000000002</v>
      </c>
      <c r="P14" s="37">
        <f>VLOOKUP(Table1[[#This Row],[INSTANT]],[1]dataset_2!$A:$G,3,0)</f>
        <v>0.72</v>
      </c>
      <c r="Q14" s="37">
        <f>VLOOKUP(Table1[[#This Row],[INSTANT]],[1]dataset_2!$A:$D,4,FALSE)</f>
        <v>0.29849999999999999</v>
      </c>
      <c r="R14" s="37">
        <f>VLOOKUP(Table1[[#This Row],[INSTANT]],[1]dataset_2!$A:$G,5,0)</f>
        <v>47</v>
      </c>
      <c r="S14" s="38">
        <f>VLOOKUP(Table1[[#This Row],[INSTANT]],[1]dataset_2!$A:$G,6,0)</f>
        <v>47</v>
      </c>
      <c r="T14" s="38">
        <f>VLOOKUP(Table1[[#This Row],[INSTANT]],[1]dataset_2!$A:$G,7,0)</f>
        <v>94</v>
      </c>
    </row>
    <row r="15" spans="1:20" ht="15.75" customHeight="1" x14ac:dyDescent="0.15">
      <c r="A15" s="35">
        <v>14</v>
      </c>
      <c r="B15" s="27">
        <v>40544</v>
      </c>
      <c r="C15" s="8" t="str">
        <f t="shared" si="0"/>
        <v>2011</v>
      </c>
      <c r="D15" s="8" t="str">
        <f t="shared" si="1"/>
        <v>01</v>
      </c>
      <c r="E15" s="7">
        <v>1</v>
      </c>
      <c r="F15" s="7">
        <v>0</v>
      </c>
      <c r="G15" s="7">
        <v>1</v>
      </c>
      <c r="H15" s="7">
        <v>13</v>
      </c>
      <c r="I15" s="7" t="b">
        <v>0</v>
      </c>
      <c r="J15" s="22">
        <f>--Table1[[#This Row],[HOLIDAY]]</f>
        <v>0</v>
      </c>
      <c r="K15" s="9">
        <v>6</v>
      </c>
      <c r="L15" s="7">
        <v>2</v>
      </c>
      <c r="M15" s="7">
        <f>LEN(TEXT(Table1[[#This Row],[WEATHER]],"0"))</f>
        <v>1</v>
      </c>
      <c r="N15" s="36">
        <v>0.46</v>
      </c>
      <c r="O15" s="37">
        <f>VLOOKUP(Table1[[#This Row],[INSTANT]],[1]dataset_2!$A:$G,2,FALSE)</f>
        <v>0.45450000000000002</v>
      </c>
      <c r="P15" s="37">
        <f>VLOOKUP(Table1[[#This Row],[INSTANT]],[1]dataset_2!$A:$G,3,0)</f>
        <v>0.72</v>
      </c>
      <c r="Q15" s="37">
        <f>VLOOKUP(Table1[[#This Row],[INSTANT]],[1]dataset_2!$A:$D,4,FALSE)</f>
        <v>0.28360000000000002</v>
      </c>
      <c r="R15" s="37">
        <f>VLOOKUP(Table1[[#This Row],[INSTANT]],[1]dataset_2!$A:$G,5,0)</f>
        <v>35</v>
      </c>
      <c r="S15" s="38">
        <f>VLOOKUP(Table1[[#This Row],[INSTANT]],[1]dataset_2!$A:$G,6,0)</f>
        <v>71</v>
      </c>
      <c r="T15" s="38">
        <f>VLOOKUP(Table1[[#This Row],[INSTANT]],[1]dataset_2!$A:$G,7,0)</f>
        <v>106</v>
      </c>
    </row>
    <row r="16" spans="1:20" ht="15.75" customHeight="1" x14ac:dyDescent="0.15">
      <c r="A16" s="35">
        <v>15</v>
      </c>
      <c r="B16" s="27">
        <v>40544</v>
      </c>
      <c r="C16" s="8" t="str">
        <f t="shared" si="0"/>
        <v>2011</v>
      </c>
      <c r="D16" s="8" t="str">
        <f t="shared" si="1"/>
        <v>01</v>
      </c>
      <c r="E16" s="7">
        <v>1</v>
      </c>
      <c r="F16" s="7">
        <v>0</v>
      </c>
      <c r="G16" s="7">
        <v>1</v>
      </c>
      <c r="H16" s="7">
        <v>14</v>
      </c>
      <c r="I16" s="7" t="b">
        <v>0</v>
      </c>
      <c r="J16" s="22">
        <f>--Table1[[#This Row],[HOLIDAY]]</f>
        <v>0</v>
      </c>
      <c r="K16" s="9">
        <v>6</v>
      </c>
      <c r="L16" s="7">
        <v>2</v>
      </c>
      <c r="M16" s="7">
        <f>LEN(TEXT(Table1[[#This Row],[WEATHER]],"0"))</f>
        <v>1</v>
      </c>
      <c r="N16" s="36">
        <v>0.46</v>
      </c>
      <c r="O16" s="37">
        <f>VLOOKUP(Table1[[#This Row],[INSTANT]],[1]dataset_2!$A:$G,2,FALSE)</f>
        <v>0.43940000000000001</v>
      </c>
      <c r="P16" s="37">
        <f>VLOOKUP(Table1[[#This Row],[INSTANT]],[1]dataset_2!$A:$G,3,0)</f>
        <v>0.77</v>
      </c>
      <c r="Q16" s="37">
        <f>VLOOKUP(Table1[[#This Row],[INSTANT]],[1]dataset_2!$A:$D,4,FALSE)</f>
        <v>0.29849999999999999</v>
      </c>
      <c r="R16" s="37">
        <f>VLOOKUP(Table1[[#This Row],[INSTANT]],[1]dataset_2!$A:$G,5,0)</f>
        <v>40</v>
      </c>
      <c r="S16" s="38">
        <f>VLOOKUP(Table1[[#This Row],[INSTANT]],[1]dataset_2!$A:$G,6,0)</f>
        <v>70</v>
      </c>
      <c r="T16" s="38">
        <f>VLOOKUP(Table1[[#This Row],[INSTANT]],[1]dataset_2!$A:$G,7,0)</f>
        <v>110</v>
      </c>
    </row>
    <row r="17" spans="1:20" ht="15.75" customHeight="1" x14ac:dyDescent="0.15">
      <c r="A17" s="35">
        <v>16</v>
      </c>
      <c r="B17" s="27">
        <v>40544</v>
      </c>
      <c r="C17" s="8" t="str">
        <f t="shared" si="0"/>
        <v>2011</v>
      </c>
      <c r="D17" s="8" t="str">
        <f t="shared" si="1"/>
        <v>01</v>
      </c>
      <c r="E17" s="7">
        <v>1</v>
      </c>
      <c r="F17" s="7">
        <v>0</v>
      </c>
      <c r="G17" s="7">
        <v>1</v>
      </c>
      <c r="H17" s="7">
        <v>15</v>
      </c>
      <c r="I17" s="7" t="b">
        <v>0</v>
      </c>
      <c r="J17" s="22">
        <f>--Table1[[#This Row],[HOLIDAY]]</f>
        <v>0</v>
      </c>
      <c r="K17" s="9">
        <v>6</v>
      </c>
      <c r="L17" s="7">
        <v>2</v>
      </c>
      <c r="M17" s="7">
        <f>LEN(TEXT(Table1[[#This Row],[WEATHER]],"0"))</f>
        <v>1</v>
      </c>
      <c r="N17" s="36">
        <v>0.44</v>
      </c>
      <c r="O17" s="37">
        <f>VLOOKUP(Table1[[#This Row],[INSTANT]],[1]dataset_2!$A:$G,2,FALSE)</f>
        <v>0.42420000000000002</v>
      </c>
      <c r="P17" s="37">
        <f>VLOOKUP(Table1[[#This Row],[INSTANT]],[1]dataset_2!$A:$G,3,0)</f>
        <v>0.82</v>
      </c>
      <c r="Q17" s="37">
        <f>VLOOKUP(Table1[[#This Row],[INSTANT]],[1]dataset_2!$A:$D,4,FALSE)</f>
        <v>0.29849999999999999</v>
      </c>
      <c r="R17" s="37">
        <f>VLOOKUP(Table1[[#This Row],[INSTANT]],[1]dataset_2!$A:$G,5,0)</f>
        <v>41</v>
      </c>
      <c r="S17" s="38">
        <f>VLOOKUP(Table1[[#This Row],[INSTANT]],[1]dataset_2!$A:$G,6,0)</f>
        <v>52</v>
      </c>
      <c r="T17" s="38">
        <f>VLOOKUP(Table1[[#This Row],[INSTANT]],[1]dataset_2!$A:$G,7,0)</f>
        <v>93</v>
      </c>
    </row>
    <row r="18" spans="1:20" ht="15.75" customHeight="1" x14ac:dyDescent="0.15">
      <c r="A18" s="35">
        <v>17</v>
      </c>
      <c r="B18" s="27">
        <v>40544</v>
      </c>
      <c r="C18" s="8" t="str">
        <f t="shared" si="0"/>
        <v>2011</v>
      </c>
      <c r="D18" s="8" t="str">
        <f t="shared" si="1"/>
        <v>01</v>
      </c>
      <c r="E18" s="7">
        <v>1</v>
      </c>
      <c r="F18" s="7">
        <v>0</v>
      </c>
      <c r="G18" s="7">
        <v>1</v>
      </c>
      <c r="H18" s="7">
        <v>16</v>
      </c>
      <c r="I18" s="7" t="b">
        <v>0</v>
      </c>
      <c r="J18" s="22">
        <f>--Table1[[#This Row],[HOLIDAY]]</f>
        <v>0</v>
      </c>
      <c r="K18" s="9">
        <v>6</v>
      </c>
      <c r="L18" s="7">
        <v>2</v>
      </c>
      <c r="M18" s="7">
        <f>LEN(TEXT(Table1[[#This Row],[WEATHER]],"0"))</f>
        <v>1</v>
      </c>
      <c r="N18" s="36">
        <v>0.42</v>
      </c>
      <c r="O18" s="37">
        <f>VLOOKUP(Table1[[#This Row],[INSTANT]],[1]dataset_2!$A:$G,2,FALSE)</f>
        <v>0.42420000000000002</v>
      </c>
      <c r="P18" s="37">
        <f>VLOOKUP(Table1[[#This Row],[INSTANT]],[1]dataset_2!$A:$G,3,0)</f>
        <v>0.88</v>
      </c>
      <c r="Q18" s="37">
        <f>VLOOKUP(Table1[[#This Row],[INSTANT]],[1]dataset_2!$A:$D,4,FALSE)</f>
        <v>0.25369999999999998</v>
      </c>
      <c r="R18" s="37">
        <f>VLOOKUP(Table1[[#This Row],[INSTANT]],[1]dataset_2!$A:$G,5,0)</f>
        <v>9</v>
      </c>
      <c r="S18" s="38">
        <f>VLOOKUP(Table1[[#This Row],[INSTANT]],[1]dataset_2!$A:$G,6,0)</f>
        <v>26</v>
      </c>
      <c r="T18" s="38">
        <f>VLOOKUP(Table1[[#This Row],[INSTANT]],[1]dataset_2!$A:$G,7,0)</f>
        <v>35</v>
      </c>
    </row>
    <row r="19" spans="1:20" ht="15.75" customHeight="1" x14ac:dyDescent="0.15">
      <c r="A19" s="35">
        <v>18</v>
      </c>
      <c r="B19" s="27">
        <v>40544</v>
      </c>
      <c r="C19" s="8" t="str">
        <f t="shared" si="0"/>
        <v>2011</v>
      </c>
      <c r="D19" s="8" t="str">
        <f t="shared" si="1"/>
        <v>01</v>
      </c>
      <c r="E19" s="7">
        <v>1</v>
      </c>
      <c r="F19" s="7">
        <v>0</v>
      </c>
      <c r="G19" s="7">
        <v>1</v>
      </c>
      <c r="H19" s="7">
        <v>17</v>
      </c>
      <c r="I19" s="7" t="b">
        <v>0</v>
      </c>
      <c r="J19" s="22">
        <f>--Table1[[#This Row],[HOLIDAY]]</f>
        <v>0</v>
      </c>
      <c r="K19" s="9">
        <v>6</v>
      </c>
      <c r="L19" s="7">
        <v>2</v>
      </c>
      <c r="M19" s="7">
        <f>LEN(TEXT(Table1[[#This Row],[WEATHER]],"0"))</f>
        <v>1</v>
      </c>
      <c r="N19" s="36">
        <v>0.44</v>
      </c>
      <c r="O19" s="37">
        <f>VLOOKUP(Table1[[#This Row],[INSTANT]],[1]dataset_2!$A:$G,2,FALSE)</f>
        <v>0.42420000000000002</v>
      </c>
      <c r="P19" s="37">
        <f>VLOOKUP(Table1[[#This Row],[INSTANT]],[1]dataset_2!$A:$G,3,0)</f>
        <v>0.88</v>
      </c>
      <c r="Q19" s="37">
        <f>VLOOKUP(Table1[[#This Row],[INSTANT]],[1]dataset_2!$A:$D,4,FALSE)</f>
        <v>0.25369999999999998</v>
      </c>
      <c r="R19" s="37">
        <f>VLOOKUP(Table1[[#This Row],[INSTANT]],[1]dataset_2!$A:$G,5,0)</f>
        <v>6</v>
      </c>
      <c r="S19" s="38">
        <f>VLOOKUP(Table1[[#This Row],[INSTANT]],[1]dataset_2!$A:$G,6,0)</f>
        <v>31</v>
      </c>
      <c r="T19" s="38">
        <f>VLOOKUP(Table1[[#This Row],[INSTANT]],[1]dataset_2!$A:$G,7,0)</f>
        <v>37</v>
      </c>
    </row>
    <row r="20" spans="1:20" ht="15.75" customHeight="1" x14ac:dyDescent="0.15">
      <c r="A20" s="35">
        <v>19</v>
      </c>
      <c r="B20" s="27">
        <v>40544</v>
      </c>
      <c r="C20" s="8" t="str">
        <f t="shared" si="0"/>
        <v>2011</v>
      </c>
      <c r="D20" s="8" t="str">
        <f t="shared" si="1"/>
        <v>01</v>
      </c>
      <c r="E20" s="7">
        <v>1</v>
      </c>
      <c r="F20" s="7">
        <v>0</v>
      </c>
      <c r="G20" s="7">
        <v>1</v>
      </c>
      <c r="H20" s="7">
        <v>18</v>
      </c>
      <c r="I20" s="7" t="b">
        <v>0</v>
      </c>
      <c r="J20" s="22">
        <f>--Table1[[#This Row],[HOLIDAY]]</f>
        <v>0</v>
      </c>
      <c r="K20" s="9">
        <v>6</v>
      </c>
      <c r="L20" s="7">
        <v>3</v>
      </c>
      <c r="M20" s="7">
        <f>LEN(TEXT(Table1[[#This Row],[WEATHER]],"0"))</f>
        <v>1</v>
      </c>
      <c r="N20" s="36">
        <v>0.42</v>
      </c>
      <c r="O20" s="37">
        <f>VLOOKUP(Table1[[#This Row],[INSTANT]],[1]dataset_2!$A:$G,2,FALSE)</f>
        <v>0.40910000000000002</v>
      </c>
      <c r="P20" s="37">
        <f>VLOOKUP(Table1[[#This Row],[INSTANT]],[1]dataset_2!$A:$G,3,0)</f>
        <v>0.87</v>
      </c>
      <c r="Q20" s="37">
        <f>VLOOKUP(Table1[[#This Row],[INSTANT]],[1]dataset_2!$A:$D,4,FALSE)</f>
        <v>0.25369999999999998</v>
      </c>
      <c r="R20" s="37">
        <f>VLOOKUP(Table1[[#This Row],[INSTANT]],[1]dataset_2!$A:$G,5,0)</f>
        <v>11</v>
      </c>
      <c r="S20" s="38">
        <f>VLOOKUP(Table1[[#This Row],[INSTANT]],[1]dataset_2!$A:$G,6,0)</f>
        <v>25</v>
      </c>
      <c r="T20" s="38">
        <f>VLOOKUP(Table1[[#This Row],[INSTANT]],[1]dataset_2!$A:$G,7,0)</f>
        <v>36</v>
      </c>
    </row>
    <row r="21" spans="1:20" ht="15.75" customHeight="1" x14ac:dyDescent="0.15">
      <c r="A21" s="35">
        <v>20</v>
      </c>
      <c r="B21" s="27">
        <v>40544</v>
      </c>
      <c r="C21" s="8" t="str">
        <f t="shared" si="0"/>
        <v>2011</v>
      </c>
      <c r="D21" s="8" t="str">
        <f t="shared" si="1"/>
        <v>01</v>
      </c>
      <c r="E21" s="7">
        <v>1</v>
      </c>
      <c r="F21" s="7">
        <v>0</v>
      </c>
      <c r="G21" s="7">
        <v>1</v>
      </c>
      <c r="H21" s="7">
        <v>19</v>
      </c>
      <c r="I21" s="7" t="b">
        <v>0</v>
      </c>
      <c r="J21" s="22">
        <f>--Table1[[#This Row],[HOLIDAY]]</f>
        <v>0</v>
      </c>
      <c r="K21" s="9">
        <v>6</v>
      </c>
      <c r="L21" s="7">
        <v>3</v>
      </c>
      <c r="M21" s="7">
        <f>LEN(TEXT(Table1[[#This Row],[WEATHER]],"0"))</f>
        <v>1</v>
      </c>
      <c r="N21" s="36">
        <v>0.42</v>
      </c>
      <c r="O21" s="37">
        <f>VLOOKUP(Table1[[#This Row],[INSTANT]],[1]dataset_2!$A:$G,2,FALSE)</f>
        <v>0.40910000000000002</v>
      </c>
      <c r="P21" s="37">
        <f>VLOOKUP(Table1[[#This Row],[INSTANT]],[1]dataset_2!$A:$G,3,0)</f>
        <v>0.87</v>
      </c>
      <c r="Q21" s="37">
        <f>VLOOKUP(Table1[[#This Row],[INSTANT]],[1]dataset_2!$A:$D,4,FALSE)</f>
        <v>0.19400000000000001</v>
      </c>
      <c r="R21" s="37">
        <f>VLOOKUP(Table1[[#This Row],[INSTANT]],[1]dataset_2!$A:$G,5,0)</f>
        <v>3</v>
      </c>
      <c r="S21" s="38">
        <f>VLOOKUP(Table1[[#This Row],[INSTANT]],[1]dataset_2!$A:$G,6,0)</f>
        <v>31</v>
      </c>
      <c r="T21" s="38">
        <f>VLOOKUP(Table1[[#This Row],[INSTANT]],[1]dataset_2!$A:$G,7,0)</f>
        <v>34</v>
      </c>
    </row>
    <row r="22" spans="1:20" ht="15.75" customHeight="1" x14ac:dyDescent="0.15">
      <c r="A22" s="35">
        <v>21</v>
      </c>
      <c r="B22" s="27">
        <v>40544</v>
      </c>
      <c r="C22" s="8" t="str">
        <f t="shared" si="0"/>
        <v>2011</v>
      </c>
      <c r="D22" s="8" t="str">
        <f t="shared" si="1"/>
        <v>01</v>
      </c>
      <c r="E22" s="7">
        <v>1</v>
      </c>
      <c r="F22" s="7">
        <v>0</v>
      </c>
      <c r="G22" s="7">
        <v>1</v>
      </c>
      <c r="H22" s="7">
        <v>20</v>
      </c>
      <c r="I22" s="7" t="b">
        <v>0</v>
      </c>
      <c r="J22" s="22">
        <f>--Table1[[#This Row],[HOLIDAY]]</f>
        <v>0</v>
      </c>
      <c r="K22" s="9">
        <v>6</v>
      </c>
      <c r="L22" s="7">
        <v>2</v>
      </c>
      <c r="M22" s="7">
        <f>LEN(TEXT(Table1[[#This Row],[WEATHER]],"0"))</f>
        <v>1</v>
      </c>
      <c r="N22" s="36">
        <v>0.4</v>
      </c>
      <c r="O22" s="37">
        <f>VLOOKUP(Table1[[#This Row],[INSTANT]],[1]dataset_2!$A:$G,2,FALSE)</f>
        <v>0.40910000000000002</v>
      </c>
      <c r="P22" s="37">
        <f>VLOOKUP(Table1[[#This Row],[INSTANT]],[1]dataset_2!$A:$G,3,0)</f>
        <v>0.94</v>
      </c>
      <c r="Q22" s="37">
        <f>VLOOKUP(Table1[[#This Row],[INSTANT]],[1]dataset_2!$A:$D,4,FALSE)</f>
        <v>0.22389999999999999</v>
      </c>
      <c r="R22" s="37">
        <f>VLOOKUP(Table1[[#This Row],[INSTANT]],[1]dataset_2!$A:$G,5,0)</f>
        <v>11</v>
      </c>
      <c r="S22" s="38">
        <f>VLOOKUP(Table1[[#This Row],[INSTANT]],[1]dataset_2!$A:$G,6,0)</f>
        <v>17</v>
      </c>
      <c r="T22" s="38">
        <f>VLOOKUP(Table1[[#This Row],[INSTANT]],[1]dataset_2!$A:$G,7,0)</f>
        <v>28</v>
      </c>
    </row>
    <row r="23" spans="1:20" ht="15.75" customHeight="1" x14ac:dyDescent="0.15">
      <c r="A23" s="35">
        <v>22</v>
      </c>
      <c r="B23" s="27">
        <v>40544</v>
      </c>
      <c r="C23" s="8" t="str">
        <f t="shared" si="0"/>
        <v>2011</v>
      </c>
      <c r="D23" s="8" t="str">
        <f t="shared" si="1"/>
        <v>01</v>
      </c>
      <c r="E23" s="7">
        <v>1</v>
      </c>
      <c r="F23" s="7">
        <v>0</v>
      </c>
      <c r="G23" s="7">
        <v>1</v>
      </c>
      <c r="H23" s="7">
        <v>21</v>
      </c>
      <c r="I23" s="7" t="b">
        <v>0</v>
      </c>
      <c r="J23" s="22">
        <f>--Table1[[#This Row],[HOLIDAY]]</f>
        <v>0</v>
      </c>
      <c r="K23" s="9">
        <v>6</v>
      </c>
      <c r="L23" s="7">
        <v>2</v>
      </c>
      <c r="M23" s="7">
        <f>LEN(TEXT(Table1[[#This Row],[WEATHER]],"0"))</f>
        <v>1</v>
      </c>
      <c r="N23" s="36">
        <v>0.4</v>
      </c>
      <c r="O23" s="37">
        <f>VLOOKUP(Table1[[#This Row],[INSTANT]],[1]dataset_2!$A:$G,2,FALSE)</f>
        <v>0.45450000000000002</v>
      </c>
      <c r="P23" s="37">
        <f>VLOOKUP(Table1[[#This Row],[INSTANT]],[1]dataset_2!$A:$G,3,0)</f>
        <v>0.88</v>
      </c>
      <c r="Q23" s="37">
        <f>VLOOKUP(Table1[[#This Row],[INSTANT]],[1]dataset_2!$A:$D,4,FALSE)</f>
        <v>0.29849999999999999</v>
      </c>
      <c r="R23" s="37">
        <f>VLOOKUP(Table1[[#This Row],[INSTANT]],[1]dataset_2!$A:$G,5,0)</f>
        <v>4</v>
      </c>
      <c r="S23" s="38">
        <f>VLOOKUP(Table1[[#This Row],[INSTANT]],[1]dataset_2!$A:$G,6,0)</f>
        <v>13</v>
      </c>
      <c r="T23" s="38">
        <f>VLOOKUP(Table1[[#This Row],[INSTANT]],[1]dataset_2!$A:$G,7,0)</f>
        <v>17</v>
      </c>
    </row>
    <row r="24" spans="1:20" ht="15.75" customHeight="1" x14ac:dyDescent="0.15">
      <c r="A24" s="35">
        <v>23</v>
      </c>
      <c r="B24" s="27">
        <v>40544</v>
      </c>
      <c r="C24" s="8" t="str">
        <f t="shared" si="0"/>
        <v>2011</v>
      </c>
      <c r="D24" s="8" t="str">
        <f t="shared" si="1"/>
        <v>01</v>
      </c>
      <c r="E24" s="7">
        <v>1</v>
      </c>
      <c r="F24" s="7">
        <v>0</v>
      </c>
      <c r="G24" s="7">
        <v>1</v>
      </c>
      <c r="H24" s="7">
        <v>22</v>
      </c>
      <c r="I24" s="7" t="b">
        <v>0</v>
      </c>
      <c r="J24" s="22">
        <f>--Table1[[#This Row],[HOLIDAY]]</f>
        <v>0</v>
      </c>
      <c r="K24" s="9">
        <v>6</v>
      </c>
      <c r="L24" s="7">
        <v>2</v>
      </c>
      <c r="M24" s="7">
        <f>LEN(TEXT(Table1[[#This Row],[WEATHER]],"0"))</f>
        <v>1</v>
      </c>
      <c r="N24" s="36">
        <v>0.4</v>
      </c>
      <c r="O24" s="37">
        <f>VLOOKUP(Table1[[#This Row],[INSTANT]],[1]dataset_2!$A:$G,2,FALSE)</f>
        <v>0.43940000000000001</v>
      </c>
      <c r="P24" s="37">
        <f>VLOOKUP(Table1[[#This Row],[INSTANT]],[1]dataset_2!$A:$G,3,0)</f>
        <v>0.94</v>
      </c>
      <c r="Q24" s="37">
        <f>VLOOKUP(Table1[[#This Row],[INSTANT]],[1]dataset_2!$A:$D,4,FALSE)</f>
        <v>0.25369999999999998</v>
      </c>
      <c r="R24" s="37">
        <f>VLOOKUP(Table1[[#This Row],[INSTANT]],[1]dataset_2!$A:$G,5,0)</f>
        <v>1</v>
      </c>
      <c r="S24" s="38">
        <f>VLOOKUP(Table1[[#This Row],[INSTANT]],[1]dataset_2!$A:$G,6,0)</f>
        <v>16</v>
      </c>
      <c r="T24" s="38">
        <f>VLOOKUP(Table1[[#This Row],[INSTANT]],[1]dataset_2!$A:$G,7,0)</f>
        <v>17</v>
      </c>
    </row>
    <row r="25" spans="1:20" ht="15.75" customHeight="1" x14ac:dyDescent="0.15">
      <c r="A25" s="35">
        <v>24</v>
      </c>
      <c r="B25" s="27">
        <v>40544</v>
      </c>
      <c r="C25" s="8" t="str">
        <f t="shared" si="0"/>
        <v>2011</v>
      </c>
      <c r="D25" s="8" t="str">
        <f t="shared" si="1"/>
        <v>01</v>
      </c>
      <c r="E25" s="7">
        <v>1</v>
      </c>
      <c r="F25" s="7">
        <v>0</v>
      </c>
      <c r="G25" s="7">
        <v>1</v>
      </c>
      <c r="H25" s="7">
        <v>23</v>
      </c>
      <c r="I25" s="7" t="b">
        <v>0</v>
      </c>
      <c r="J25" s="22">
        <f>--Table1[[#This Row],[HOLIDAY]]</f>
        <v>0</v>
      </c>
      <c r="K25" s="9">
        <v>6</v>
      </c>
      <c r="L25" s="7">
        <v>2</v>
      </c>
      <c r="M25" s="7">
        <f>LEN(TEXT(Table1[[#This Row],[WEATHER]],"0"))</f>
        <v>1</v>
      </c>
      <c r="N25" s="36">
        <v>0.46</v>
      </c>
      <c r="O25" s="37">
        <f>VLOOKUP(Table1[[#This Row],[INSTANT]],[1]dataset_2!$A:$G,2,FALSE)</f>
        <v>0.42420000000000002</v>
      </c>
      <c r="P25" s="37">
        <f>VLOOKUP(Table1[[#This Row],[INSTANT]],[1]dataset_2!$A:$G,3,0)</f>
        <v>1</v>
      </c>
      <c r="Q25" s="37">
        <f>VLOOKUP(Table1[[#This Row],[INSTANT]],[1]dataset_2!$A:$D,4,FALSE)</f>
        <v>0.28360000000000002</v>
      </c>
      <c r="R25" s="37">
        <f>VLOOKUP(Table1[[#This Row],[INSTANT]],[1]dataset_2!$A:$G,5,0)</f>
        <v>1</v>
      </c>
      <c r="S25" s="38">
        <f>VLOOKUP(Table1[[#This Row],[INSTANT]],[1]dataset_2!$A:$G,6,0)</f>
        <v>8</v>
      </c>
      <c r="T25" s="38">
        <f>VLOOKUP(Table1[[#This Row],[INSTANT]],[1]dataset_2!$A:$G,7,0)</f>
        <v>9</v>
      </c>
    </row>
    <row r="26" spans="1:20" ht="15.75" customHeight="1" x14ac:dyDescent="0.15">
      <c r="A26" s="35">
        <v>25</v>
      </c>
      <c r="B26" s="27">
        <v>40545</v>
      </c>
      <c r="C26" s="8" t="str">
        <f t="shared" si="0"/>
        <v>2011</v>
      </c>
      <c r="D26" s="8" t="str">
        <f t="shared" si="1"/>
        <v>02</v>
      </c>
      <c r="E26" s="7">
        <v>1</v>
      </c>
      <c r="F26" s="7">
        <v>0</v>
      </c>
      <c r="G26" s="7">
        <v>1</v>
      </c>
      <c r="H26" s="7">
        <v>0</v>
      </c>
      <c r="I26" s="7" t="b">
        <v>0</v>
      </c>
      <c r="J26" s="22">
        <f>--Table1[[#This Row],[HOLIDAY]]</f>
        <v>0</v>
      </c>
      <c r="K26" s="9">
        <v>0</v>
      </c>
      <c r="L26" s="7">
        <v>2</v>
      </c>
      <c r="M26" s="7">
        <f>LEN(TEXT(Table1[[#This Row],[WEATHER]],"0"))</f>
        <v>1</v>
      </c>
      <c r="N26" s="36">
        <v>0.46</v>
      </c>
      <c r="O26" s="37">
        <f>VLOOKUP(Table1[[#This Row],[INSTANT]],[1]dataset_2!$A:$G,2,FALSE)</f>
        <v>0.45450000000000002</v>
      </c>
      <c r="P26" s="37">
        <f>VLOOKUP(Table1[[#This Row],[INSTANT]],[1]dataset_2!$A:$G,3,0)</f>
        <v>0.94</v>
      </c>
      <c r="Q26" s="37">
        <f>VLOOKUP(Table1[[#This Row],[INSTANT]],[1]dataset_2!$A:$D,4,FALSE)</f>
        <v>0.19400000000000001</v>
      </c>
      <c r="R26" s="37">
        <f>VLOOKUP(Table1[[#This Row],[INSTANT]],[1]dataset_2!$A:$G,5,0)</f>
        <v>2</v>
      </c>
      <c r="S26" s="38">
        <f>VLOOKUP(Table1[[#This Row],[INSTANT]],[1]dataset_2!$A:$G,6,0)</f>
        <v>4</v>
      </c>
      <c r="T26" s="38">
        <f>VLOOKUP(Table1[[#This Row],[INSTANT]],[1]dataset_2!$A:$G,7,0)</f>
        <v>6</v>
      </c>
    </row>
    <row r="27" spans="1:20" ht="15.75" customHeight="1" x14ac:dyDescent="0.15">
      <c r="A27" s="35">
        <v>26</v>
      </c>
      <c r="B27" s="27">
        <v>40545</v>
      </c>
      <c r="C27" s="8" t="str">
        <f t="shared" si="0"/>
        <v>2011</v>
      </c>
      <c r="D27" s="8" t="str">
        <f t="shared" si="1"/>
        <v>02</v>
      </c>
      <c r="E27" s="7">
        <v>1</v>
      </c>
      <c r="F27" s="7">
        <v>0</v>
      </c>
      <c r="G27" s="7">
        <v>1</v>
      </c>
      <c r="H27" s="7">
        <v>1</v>
      </c>
      <c r="I27" s="7" t="b">
        <v>0</v>
      </c>
      <c r="J27" s="22">
        <f>--Table1[[#This Row],[HOLIDAY]]</f>
        <v>0</v>
      </c>
      <c r="K27" s="9">
        <v>0</v>
      </c>
      <c r="L27" s="7">
        <v>2</v>
      </c>
      <c r="M27" s="7">
        <f>LEN(TEXT(Table1[[#This Row],[WEATHER]],"0"))</f>
        <v>1</v>
      </c>
      <c r="N27" s="36">
        <v>0.44</v>
      </c>
      <c r="O27" s="37">
        <f>VLOOKUP(Table1[[#This Row],[INSTANT]],[1]dataset_2!$A:$G,2,FALSE)</f>
        <v>0.42420000000000002</v>
      </c>
      <c r="P27" s="37">
        <f>VLOOKUP(Table1[[#This Row],[INSTANT]],[1]dataset_2!$A:$G,3,0)</f>
        <v>0.77</v>
      </c>
      <c r="Q27" s="37">
        <f>VLOOKUP(Table1[[#This Row],[INSTANT]],[1]dataset_2!$A:$D,4,FALSE)</f>
        <v>0.29849999999999999</v>
      </c>
      <c r="R27" s="37">
        <f>VLOOKUP(Table1[[#This Row],[INSTANT]],[1]dataset_2!$A:$G,5,0)</f>
        <v>0</v>
      </c>
      <c r="S27" s="38">
        <f>VLOOKUP(Table1[[#This Row],[INSTANT]],[1]dataset_2!$A:$G,6,0)</f>
        <v>2</v>
      </c>
      <c r="T27" s="38">
        <f>VLOOKUP(Table1[[#This Row],[INSTANT]],[1]dataset_2!$A:$G,7,0)</f>
        <v>2</v>
      </c>
    </row>
    <row r="28" spans="1:20" ht="15.75" customHeight="1" x14ac:dyDescent="0.15">
      <c r="A28" s="35">
        <v>27</v>
      </c>
      <c r="B28" s="27">
        <v>40545</v>
      </c>
      <c r="C28" s="8" t="str">
        <f t="shared" si="0"/>
        <v>2011</v>
      </c>
      <c r="D28" s="8" t="str">
        <f t="shared" si="1"/>
        <v>02</v>
      </c>
      <c r="E28" s="7">
        <v>1</v>
      </c>
      <c r="F28" s="7">
        <v>0</v>
      </c>
      <c r="G28" s="7">
        <v>1</v>
      </c>
      <c r="H28" s="7">
        <v>2</v>
      </c>
      <c r="I28" s="7" t="b">
        <v>0</v>
      </c>
      <c r="J28" s="22">
        <f>--Table1[[#This Row],[HOLIDAY]]</f>
        <v>0</v>
      </c>
      <c r="K28" s="9">
        <v>0</v>
      </c>
      <c r="L28" s="7">
        <v>2</v>
      </c>
      <c r="M28" s="7">
        <f>LEN(TEXT(Table1[[#This Row],[WEATHER]],"0"))</f>
        <v>1</v>
      </c>
      <c r="N28" s="36">
        <v>0.42</v>
      </c>
      <c r="O28" s="37">
        <f>VLOOKUP(Table1[[#This Row],[INSTANT]],[1]dataset_2!$A:$G,2,FALSE)</f>
        <v>0.40910000000000002</v>
      </c>
      <c r="P28" s="37">
        <f>VLOOKUP(Table1[[#This Row],[INSTANT]],[1]dataset_2!$A:$G,3,0)</f>
        <v>0.76</v>
      </c>
      <c r="Q28" s="37">
        <f>VLOOKUP(Table1[[#This Row],[INSTANT]],[1]dataset_2!$A:$D,4,FALSE)</f>
        <v>0.19400000000000001</v>
      </c>
      <c r="R28" s="37">
        <f>VLOOKUP(Table1[[#This Row],[INSTANT]],[1]dataset_2!$A:$G,5,0)</f>
        <v>0</v>
      </c>
      <c r="S28" s="38">
        <f>VLOOKUP(Table1[[#This Row],[INSTANT]],[1]dataset_2!$A:$G,6,0)</f>
        <v>1</v>
      </c>
      <c r="T28" s="38">
        <f>VLOOKUP(Table1[[#This Row],[INSTANT]],[1]dataset_2!$A:$G,7,0)</f>
        <v>1</v>
      </c>
    </row>
    <row r="29" spans="1:20" ht="15.75" customHeight="1" x14ac:dyDescent="0.15">
      <c r="A29" s="35">
        <v>28</v>
      </c>
      <c r="B29" s="27">
        <v>40545</v>
      </c>
      <c r="C29" s="8" t="str">
        <f t="shared" si="0"/>
        <v>2011</v>
      </c>
      <c r="D29" s="8" t="str">
        <f t="shared" si="1"/>
        <v>02</v>
      </c>
      <c r="E29" s="7">
        <v>1</v>
      </c>
      <c r="F29" s="7">
        <v>0</v>
      </c>
      <c r="G29" s="7">
        <v>1</v>
      </c>
      <c r="H29" s="7">
        <v>3</v>
      </c>
      <c r="I29" s="7" t="b">
        <v>0</v>
      </c>
      <c r="J29" s="22">
        <f>--Table1[[#This Row],[HOLIDAY]]</f>
        <v>0</v>
      </c>
      <c r="K29" s="9">
        <v>0</v>
      </c>
      <c r="L29" s="7">
        <v>2</v>
      </c>
      <c r="M29" s="7">
        <f>LEN(TEXT(Table1[[#This Row],[WEATHER]],"0"))</f>
        <v>1</v>
      </c>
      <c r="N29" s="36">
        <v>0.46</v>
      </c>
      <c r="O29" s="37">
        <f>VLOOKUP(Table1[[#This Row],[INSTANT]],[1]dataset_2!$A:$G,2,FALSE)</f>
        <v>0.40910000000000002</v>
      </c>
      <c r="P29" s="37">
        <f>VLOOKUP(Table1[[#This Row],[INSTANT]],[1]dataset_2!$A:$G,3,0)</f>
        <v>0.71</v>
      </c>
      <c r="Q29" s="37">
        <f>VLOOKUP(Table1[[#This Row],[INSTANT]],[1]dataset_2!$A:$D,4,FALSE)</f>
        <v>0.22389999999999999</v>
      </c>
      <c r="R29" s="37">
        <f>VLOOKUP(Table1[[#This Row],[INSTANT]],[1]dataset_2!$A:$G,5,0)</f>
        <v>0</v>
      </c>
      <c r="S29" s="38">
        <f>VLOOKUP(Table1[[#This Row],[INSTANT]],[1]dataset_2!$A:$G,6,0)</f>
        <v>8</v>
      </c>
      <c r="T29" s="38">
        <f>VLOOKUP(Table1[[#This Row],[INSTANT]],[1]dataset_2!$A:$G,7,0)</f>
        <v>8</v>
      </c>
    </row>
    <row r="30" spans="1:20" ht="15.75" customHeight="1" x14ac:dyDescent="0.15">
      <c r="A30" s="35">
        <v>29</v>
      </c>
      <c r="B30" s="27">
        <v>40545</v>
      </c>
      <c r="C30" s="8" t="str">
        <f t="shared" si="0"/>
        <v>2011</v>
      </c>
      <c r="D30" s="8" t="str">
        <f t="shared" si="1"/>
        <v>02</v>
      </c>
      <c r="E30" s="7">
        <v>1</v>
      </c>
      <c r="F30" s="7">
        <v>0</v>
      </c>
      <c r="G30" s="7">
        <v>1</v>
      </c>
      <c r="H30" s="7">
        <v>4</v>
      </c>
      <c r="I30" s="7" t="b">
        <v>0</v>
      </c>
      <c r="J30" s="22">
        <f>--Table1[[#This Row],[HOLIDAY]]</f>
        <v>0</v>
      </c>
      <c r="K30" s="9">
        <v>0</v>
      </c>
      <c r="L30" s="7">
        <v>2</v>
      </c>
      <c r="M30" s="7">
        <f>LEN(TEXT(Table1[[#This Row],[WEATHER]],"0"))</f>
        <v>1</v>
      </c>
      <c r="N30" s="36">
        <v>0.46</v>
      </c>
      <c r="O30" s="37">
        <f>VLOOKUP(Table1[[#This Row],[INSTANT]],[1]dataset_2!$A:$G,2,FALSE)</f>
        <v>0.34849999999999998</v>
      </c>
      <c r="P30" s="37">
        <f>VLOOKUP(Table1[[#This Row],[INSTANT]],[1]dataset_2!$A:$G,3,0)</f>
        <v>0.81</v>
      </c>
      <c r="Q30" s="37">
        <f>VLOOKUP(Table1[[#This Row],[INSTANT]],[1]dataset_2!$A:$D,4,FALSE)</f>
        <v>0.22389999999999999</v>
      </c>
      <c r="R30" s="37">
        <f>VLOOKUP(Table1[[#This Row],[INSTANT]],[1]dataset_2!$A:$G,5,0)</f>
        <v>7</v>
      </c>
      <c r="S30" s="38">
        <f>VLOOKUP(Table1[[#This Row],[INSTANT]],[1]dataset_2!$A:$G,6,0)</f>
        <v>46</v>
      </c>
      <c r="T30" s="38">
        <f>VLOOKUP(Table1[[#This Row],[INSTANT]],[1]dataset_2!$A:$G,7,0)</f>
        <v>53</v>
      </c>
    </row>
    <row r="31" spans="1:20" ht="15.75" customHeight="1" x14ac:dyDescent="0.15">
      <c r="A31" s="35">
        <v>30</v>
      </c>
      <c r="B31" s="27">
        <v>40545</v>
      </c>
      <c r="C31" s="8" t="str">
        <f t="shared" si="0"/>
        <v>2011</v>
      </c>
      <c r="D31" s="8" t="str">
        <f t="shared" si="1"/>
        <v>02</v>
      </c>
      <c r="E31" s="7">
        <v>1</v>
      </c>
      <c r="F31" s="7">
        <v>0</v>
      </c>
      <c r="G31" s="7">
        <v>1</v>
      </c>
      <c r="H31" s="7">
        <v>6</v>
      </c>
      <c r="I31" s="7" t="b">
        <v>0</v>
      </c>
      <c r="J31" s="22">
        <f>--Table1[[#This Row],[HOLIDAY]]</f>
        <v>0</v>
      </c>
      <c r="K31" s="9">
        <v>0</v>
      </c>
      <c r="L31" s="7">
        <v>3</v>
      </c>
      <c r="M31" s="7">
        <f>LEN(TEXT(Table1[[#This Row],[WEATHER]],"0"))</f>
        <v>1</v>
      </c>
      <c r="N31" s="36">
        <v>0.42</v>
      </c>
      <c r="O31" s="37">
        <f>VLOOKUP(Table1[[#This Row],[INSTANT]],[1]dataset_2!$A:$G,2,FALSE)</f>
        <v>0.33329999999999999</v>
      </c>
      <c r="P31" s="37">
        <f>VLOOKUP(Table1[[#This Row],[INSTANT]],[1]dataset_2!$A:$G,3,0)</f>
        <v>0.71</v>
      </c>
      <c r="Q31" s="37">
        <f>VLOOKUP(Table1[[#This Row],[INSTANT]],[1]dataset_2!$A:$D,4,FALSE)</f>
        <v>0.25369999999999998</v>
      </c>
      <c r="R31" s="37">
        <f>VLOOKUP(Table1[[#This Row],[INSTANT]],[1]dataset_2!$A:$G,5,0)</f>
        <v>16</v>
      </c>
      <c r="S31" s="38">
        <f>VLOOKUP(Table1[[#This Row],[INSTANT]],[1]dataset_2!$A:$G,6,0)</f>
        <v>54</v>
      </c>
      <c r="T31" s="38">
        <f>VLOOKUP(Table1[[#This Row],[INSTANT]],[1]dataset_2!$A:$G,7,0)</f>
        <v>70</v>
      </c>
    </row>
    <row r="32" spans="1:20" ht="15.75" customHeight="1" x14ac:dyDescent="0.15">
      <c r="A32" s="35">
        <v>31</v>
      </c>
      <c r="B32" s="27">
        <v>40545</v>
      </c>
      <c r="C32" s="8" t="str">
        <f t="shared" si="0"/>
        <v>2011</v>
      </c>
      <c r="D32" s="8" t="str">
        <f t="shared" si="1"/>
        <v>02</v>
      </c>
      <c r="E32" s="7">
        <v>1</v>
      </c>
      <c r="F32" s="7">
        <v>0</v>
      </c>
      <c r="G32" s="7">
        <v>1</v>
      </c>
      <c r="H32" s="7">
        <v>7</v>
      </c>
      <c r="I32" s="7" t="b">
        <v>0</v>
      </c>
      <c r="J32" s="22">
        <f>--Table1[[#This Row],[HOLIDAY]]</f>
        <v>0</v>
      </c>
      <c r="K32" s="9">
        <v>0</v>
      </c>
      <c r="L32" s="7">
        <v>2</v>
      </c>
      <c r="M32" s="7">
        <f>LEN(TEXT(Table1[[#This Row],[WEATHER]],"0"))</f>
        <v>1</v>
      </c>
      <c r="N32" s="36">
        <v>0.4</v>
      </c>
      <c r="O32" s="37">
        <f>VLOOKUP(Table1[[#This Row],[INSTANT]],[1]dataset_2!$A:$G,2,FALSE)</f>
        <v>0.33329999999999999</v>
      </c>
      <c r="P32" s="37">
        <f>VLOOKUP(Table1[[#This Row],[INSTANT]],[1]dataset_2!$A:$G,3,0)</f>
        <v>0.66</v>
      </c>
      <c r="Q32" s="37">
        <f>VLOOKUP(Table1[[#This Row],[INSTANT]],[1]dataset_2!$A:$D,4,FALSE)</f>
        <v>0.29849999999999999</v>
      </c>
      <c r="R32" s="37">
        <f>VLOOKUP(Table1[[#This Row],[INSTANT]],[1]dataset_2!$A:$G,5,0)</f>
        <v>20</v>
      </c>
      <c r="S32" s="38">
        <f>VLOOKUP(Table1[[#This Row],[INSTANT]],[1]dataset_2!$A:$G,6,0)</f>
        <v>73</v>
      </c>
      <c r="T32" s="38">
        <f>VLOOKUP(Table1[[#This Row],[INSTANT]],[1]dataset_2!$A:$G,7,0)</f>
        <v>93</v>
      </c>
    </row>
    <row r="33" spans="1:20" ht="15.75" customHeight="1" x14ac:dyDescent="0.15">
      <c r="A33" s="35">
        <v>32</v>
      </c>
      <c r="B33" s="27">
        <v>40545</v>
      </c>
      <c r="C33" s="8" t="str">
        <f t="shared" si="0"/>
        <v>2011</v>
      </c>
      <c r="D33" s="8" t="str">
        <f t="shared" si="1"/>
        <v>02</v>
      </c>
      <c r="E33" s="7">
        <v>1</v>
      </c>
      <c r="F33" s="7">
        <v>0</v>
      </c>
      <c r="G33" s="7">
        <v>1</v>
      </c>
      <c r="H33" s="7">
        <v>8</v>
      </c>
      <c r="I33" s="7" t="b">
        <v>0</v>
      </c>
      <c r="J33" s="22">
        <f>--Table1[[#This Row],[HOLIDAY]]</f>
        <v>0</v>
      </c>
      <c r="K33" s="9">
        <v>0</v>
      </c>
      <c r="L33" s="7">
        <v>3</v>
      </c>
      <c r="M33" s="7">
        <f>LEN(TEXT(Table1[[#This Row],[WEATHER]],"0"))</f>
        <v>1</v>
      </c>
      <c r="N33" s="36">
        <v>0.4</v>
      </c>
      <c r="O33" s="37">
        <f>VLOOKUP(Table1[[#This Row],[INSTANT]],[1]dataset_2!$A:$G,2,FALSE)</f>
        <v>0.34849999999999998</v>
      </c>
      <c r="P33" s="37">
        <f>VLOOKUP(Table1[[#This Row],[INSTANT]],[1]dataset_2!$A:$G,3,0)</f>
        <v>0.66</v>
      </c>
      <c r="Q33" s="37">
        <f>VLOOKUP(Table1[[#This Row],[INSTANT]],[1]dataset_2!$A:$D,4,FALSE)</f>
        <v>0.1343</v>
      </c>
      <c r="R33" s="37">
        <f>VLOOKUP(Table1[[#This Row],[INSTANT]],[1]dataset_2!$A:$G,5,0)</f>
        <v>11</v>
      </c>
      <c r="S33" s="38">
        <f>VLOOKUP(Table1[[#This Row],[INSTANT]],[1]dataset_2!$A:$G,6,0)</f>
        <v>64</v>
      </c>
      <c r="T33" s="38">
        <f>VLOOKUP(Table1[[#This Row],[INSTANT]],[1]dataset_2!$A:$G,7,0)</f>
        <v>75</v>
      </c>
    </row>
    <row r="34" spans="1:20" ht="15.75" customHeight="1" x14ac:dyDescent="0.15">
      <c r="A34" s="35">
        <v>33</v>
      </c>
      <c r="B34" s="27">
        <v>40545</v>
      </c>
      <c r="C34" s="8" t="str">
        <f t="shared" si="0"/>
        <v>2011</v>
      </c>
      <c r="D34" s="8" t="str">
        <f t="shared" si="1"/>
        <v>02</v>
      </c>
      <c r="E34" s="7">
        <v>1</v>
      </c>
      <c r="F34" s="7">
        <v>0</v>
      </c>
      <c r="G34" s="7">
        <v>1</v>
      </c>
      <c r="H34" s="7">
        <v>9</v>
      </c>
      <c r="I34" s="7" t="b">
        <v>0</v>
      </c>
      <c r="J34" s="22">
        <f>--Table1[[#This Row],[HOLIDAY]]</f>
        <v>0</v>
      </c>
      <c r="K34" s="9">
        <v>0</v>
      </c>
      <c r="L34" s="7">
        <v>2</v>
      </c>
      <c r="M34" s="7">
        <f>LEN(TEXT(Table1[[#This Row],[WEATHER]],"0"))</f>
        <v>1</v>
      </c>
      <c r="N34" s="36">
        <v>0.38</v>
      </c>
      <c r="O34" s="37">
        <f>VLOOKUP(Table1[[#This Row],[INSTANT]],[1]dataset_2!$A:$G,2,FALSE)</f>
        <v>0.33329999999999999</v>
      </c>
      <c r="P34" s="37">
        <f>VLOOKUP(Table1[[#This Row],[INSTANT]],[1]dataset_2!$A:$G,3,0)</f>
        <v>0.81</v>
      </c>
      <c r="Q34" s="37">
        <f>VLOOKUP(Table1[[#This Row],[INSTANT]],[1]dataset_2!$A:$D,4,FALSE)</f>
        <v>0.16420000000000001</v>
      </c>
      <c r="R34" s="37">
        <f>VLOOKUP(Table1[[#This Row],[INSTANT]],[1]dataset_2!$A:$G,5,0)</f>
        <v>19</v>
      </c>
      <c r="S34" s="38">
        <f>VLOOKUP(Table1[[#This Row],[INSTANT]],[1]dataset_2!$A:$G,6,0)</f>
        <v>55</v>
      </c>
      <c r="T34" s="38">
        <f>VLOOKUP(Table1[[#This Row],[INSTANT]],[1]dataset_2!$A:$G,7,0)</f>
        <v>74</v>
      </c>
    </row>
    <row r="35" spans="1:20" ht="15.75" customHeight="1" x14ac:dyDescent="0.15">
      <c r="A35" s="35">
        <v>34</v>
      </c>
      <c r="B35" s="27">
        <v>40545</v>
      </c>
      <c r="C35" s="8" t="str">
        <f t="shared" si="0"/>
        <v>2011</v>
      </c>
      <c r="D35" s="8" t="str">
        <f t="shared" si="1"/>
        <v>02</v>
      </c>
      <c r="E35" s="7">
        <v>1</v>
      </c>
      <c r="F35" s="7">
        <v>0</v>
      </c>
      <c r="G35" s="7">
        <v>1</v>
      </c>
      <c r="H35" s="7">
        <v>10</v>
      </c>
      <c r="I35" s="7" t="b">
        <v>0</v>
      </c>
      <c r="J35" s="22">
        <f>--Table1[[#This Row],[HOLIDAY]]</f>
        <v>0</v>
      </c>
      <c r="K35" s="9">
        <v>0</v>
      </c>
      <c r="L35" s="7">
        <v>2</v>
      </c>
      <c r="M35" s="7">
        <f>LEN(TEXT(Table1[[#This Row],[WEATHER]],"0"))</f>
        <v>1</v>
      </c>
      <c r="N35" s="36">
        <v>0.36</v>
      </c>
      <c r="O35" s="37">
        <f>VLOOKUP(Table1[[#This Row],[INSTANT]],[1]dataset_2!$A:$G,2,FALSE)</f>
        <v>0.33329999999999999</v>
      </c>
      <c r="P35" s="37">
        <f>VLOOKUP(Table1[[#This Row],[INSTANT]],[1]dataset_2!$A:$G,3,0)</f>
        <v>0.71</v>
      </c>
      <c r="Q35" s="37">
        <f>VLOOKUP(Table1[[#This Row],[INSTANT]],[1]dataset_2!$A:$D,4,FALSE)</f>
        <v>0.16420000000000001</v>
      </c>
      <c r="R35" s="37">
        <f>VLOOKUP(Table1[[#This Row],[INSTANT]],[1]dataset_2!$A:$G,5,0)</f>
        <v>9</v>
      </c>
      <c r="S35" s="38">
        <f>VLOOKUP(Table1[[#This Row],[INSTANT]],[1]dataset_2!$A:$G,6,0)</f>
        <v>67</v>
      </c>
      <c r="T35" s="38">
        <f>VLOOKUP(Table1[[#This Row],[INSTANT]],[1]dataset_2!$A:$G,7,0)</f>
        <v>76</v>
      </c>
    </row>
    <row r="36" spans="1:20" ht="15.75" customHeight="1" x14ac:dyDescent="0.15">
      <c r="A36" s="35">
        <v>35</v>
      </c>
      <c r="B36" s="27">
        <v>40545</v>
      </c>
      <c r="C36" s="8" t="str">
        <f t="shared" si="0"/>
        <v>2011</v>
      </c>
      <c r="D36" s="8" t="str">
        <f t="shared" si="1"/>
        <v>02</v>
      </c>
      <c r="E36" s="7">
        <v>1</v>
      </c>
      <c r="F36" s="7">
        <v>0</v>
      </c>
      <c r="G36" s="7">
        <v>1</v>
      </c>
      <c r="H36" s="7">
        <v>11</v>
      </c>
      <c r="I36" s="7" t="b">
        <v>0</v>
      </c>
      <c r="J36" s="22">
        <f>--Table1[[#This Row],[HOLIDAY]]</f>
        <v>0</v>
      </c>
      <c r="K36" s="9">
        <v>0</v>
      </c>
      <c r="L36" s="7">
        <v>2</v>
      </c>
      <c r="M36" s="7">
        <f>LEN(TEXT(Table1[[#This Row],[WEATHER]],"0"))</f>
        <v>1</v>
      </c>
      <c r="N36" s="36">
        <v>0.36</v>
      </c>
      <c r="O36" s="37">
        <f>VLOOKUP(Table1[[#This Row],[INSTANT]],[1]dataset_2!$A:$G,2,FALSE)</f>
        <v>0.33329999999999999</v>
      </c>
      <c r="P36" s="37">
        <f>VLOOKUP(Table1[[#This Row],[INSTANT]],[1]dataset_2!$A:$G,3,0)</f>
        <v>0.56999999999999995</v>
      </c>
      <c r="Q36" s="37">
        <f>VLOOKUP(Table1[[#This Row],[INSTANT]],[1]dataset_2!$A:$D,4,FALSE)</f>
        <v>0.19400000000000001</v>
      </c>
      <c r="R36" s="37">
        <f>VLOOKUP(Table1[[#This Row],[INSTANT]],[1]dataset_2!$A:$G,5,0)</f>
        <v>7</v>
      </c>
      <c r="S36" s="38">
        <f>VLOOKUP(Table1[[#This Row],[INSTANT]],[1]dataset_2!$A:$G,6,0)</f>
        <v>58</v>
      </c>
      <c r="T36" s="38">
        <f>VLOOKUP(Table1[[#This Row],[INSTANT]],[1]dataset_2!$A:$G,7,0)</f>
        <v>65</v>
      </c>
    </row>
    <row r="37" spans="1:20" ht="15.75" customHeight="1" x14ac:dyDescent="0.15">
      <c r="A37" s="35">
        <v>36</v>
      </c>
      <c r="B37" s="27">
        <v>40545</v>
      </c>
      <c r="C37" s="8" t="str">
        <f t="shared" si="0"/>
        <v>2011</v>
      </c>
      <c r="D37" s="8" t="str">
        <f t="shared" si="1"/>
        <v>02</v>
      </c>
      <c r="E37" s="7">
        <v>1</v>
      </c>
      <c r="F37" s="7">
        <v>0</v>
      </c>
      <c r="G37" s="7">
        <v>1</v>
      </c>
      <c r="H37" s="7">
        <v>12</v>
      </c>
      <c r="I37" s="7" t="b">
        <v>0</v>
      </c>
      <c r="J37" s="22">
        <f>--Table1[[#This Row],[HOLIDAY]]</f>
        <v>0</v>
      </c>
      <c r="K37" s="9">
        <v>0</v>
      </c>
      <c r="L37" s="7">
        <v>2</v>
      </c>
      <c r="M37" s="7">
        <f>LEN(TEXT(Table1[[#This Row],[WEATHER]],"0"))</f>
        <v>1</v>
      </c>
      <c r="N37" s="36">
        <v>0.36</v>
      </c>
      <c r="O37" s="37">
        <f>VLOOKUP(Table1[[#This Row],[INSTANT]],[1]dataset_2!$A:$G,2,FALSE)</f>
        <v>0.33329999999999999</v>
      </c>
      <c r="P37" s="37">
        <f>VLOOKUP(Table1[[#This Row],[INSTANT]],[1]dataset_2!$A:$G,3,0)</f>
        <v>0.46</v>
      </c>
      <c r="Q37" s="37">
        <f>VLOOKUP(Table1[[#This Row],[INSTANT]],[1]dataset_2!$A:$D,4,FALSE)</f>
        <v>0.32840000000000003</v>
      </c>
      <c r="R37" s="37">
        <f>VLOOKUP(Table1[[#This Row],[INSTANT]],[1]dataset_2!$A:$G,5,0)</f>
        <v>10</v>
      </c>
      <c r="S37" s="38">
        <f>VLOOKUP(Table1[[#This Row],[INSTANT]],[1]dataset_2!$A:$G,6,0)</f>
        <v>43</v>
      </c>
      <c r="T37" s="38">
        <f>VLOOKUP(Table1[[#This Row],[INSTANT]],[1]dataset_2!$A:$G,7,0)</f>
        <v>53</v>
      </c>
    </row>
    <row r="38" spans="1:20" ht="15.75" customHeight="1" x14ac:dyDescent="0.15">
      <c r="A38" s="35">
        <v>37</v>
      </c>
      <c r="B38" s="27">
        <v>40545</v>
      </c>
      <c r="C38" s="8" t="str">
        <f t="shared" si="0"/>
        <v>2011</v>
      </c>
      <c r="D38" s="8" t="str">
        <f t="shared" si="1"/>
        <v>02</v>
      </c>
      <c r="E38" s="7">
        <v>1</v>
      </c>
      <c r="F38" s="7">
        <v>0</v>
      </c>
      <c r="G38" s="7">
        <v>1</v>
      </c>
      <c r="H38" s="7">
        <v>13</v>
      </c>
      <c r="I38" s="7" t="b">
        <v>0</v>
      </c>
      <c r="J38" s="22">
        <f>--Table1[[#This Row],[HOLIDAY]]</f>
        <v>0</v>
      </c>
      <c r="K38" s="9">
        <v>0</v>
      </c>
      <c r="L38" s="7">
        <v>2</v>
      </c>
      <c r="M38" s="7">
        <f>LEN(TEXT(Table1[[#This Row],[WEATHER]],"0"))</f>
        <v>1</v>
      </c>
      <c r="N38" s="36">
        <v>0.36</v>
      </c>
      <c r="O38" s="37">
        <f>VLOOKUP(Table1[[#This Row],[INSTANT]],[1]dataset_2!$A:$G,2,FALSE)</f>
        <v>0.28789999999999999</v>
      </c>
      <c r="P38" s="37">
        <f>VLOOKUP(Table1[[#This Row],[INSTANT]],[1]dataset_2!$A:$G,3,0)</f>
        <v>0.42</v>
      </c>
      <c r="Q38" s="37">
        <f>VLOOKUP(Table1[[#This Row],[INSTANT]],[1]dataset_2!$A:$D,4,FALSE)</f>
        <v>0.44779999999999998</v>
      </c>
      <c r="R38" s="37">
        <f>VLOOKUP(Table1[[#This Row],[INSTANT]],[1]dataset_2!$A:$G,5,0)</f>
        <v>1</v>
      </c>
      <c r="S38" s="38">
        <f>VLOOKUP(Table1[[#This Row],[INSTANT]],[1]dataset_2!$A:$G,6,0)</f>
        <v>29</v>
      </c>
      <c r="T38" s="38">
        <f>VLOOKUP(Table1[[#This Row],[INSTANT]],[1]dataset_2!$A:$G,7,0)</f>
        <v>30</v>
      </c>
    </row>
    <row r="39" spans="1:20" ht="15.75" customHeight="1" x14ac:dyDescent="0.15">
      <c r="A39" s="35">
        <v>38</v>
      </c>
      <c r="B39" s="27">
        <v>40545</v>
      </c>
      <c r="C39" s="8" t="str">
        <f t="shared" si="0"/>
        <v>2011</v>
      </c>
      <c r="D39" s="8" t="str">
        <f t="shared" si="1"/>
        <v>02</v>
      </c>
      <c r="E39" s="7">
        <v>1</v>
      </c>
      <c r="F39" s="7">
        <v>0</v>
      </c>
      <c r="G39" s="7">
        <v>1</v>
      </c>
      <c r="H39" s="7">
        <v>14</v>
      </c>
      <c r="I39" s="7" t="b">
        <v>0</v>
      </c>
      <c r="J39" s="22">
        <f>--Table1[[#This Row],[HOLIDAY]]</f>
        <v>0</v>
      </c>
      <c r="K39" s="9">
        <v>0</v>
      </c>
      <c r="L39" s="7">
        <v>3</v>
      </c>
      <c r="M39" s="7">
        <f>LEN(TEXT(Table1[[#This Row],[WEATHER]],"0"))</f>
        <v>1</v>
      </c>
      <c r="N39" s="36">
        <v>0.36</v>
      </c>
      <c r="O39" s="37">
        <f>VLOOKUP(Table1[[#This Row],[INSTANT]],[1]dataset_2!$A:$G,2,FALSE)</f>
        <v>0.2273</v>
      </c>
      <c r="P39" s="37">
        <f>VLOOKUP(Table1[[#This Row],[INSTANT]],[1]dataset_2!$A:$G,3,0)</f>
        <v>0.44</v>
      </c>
      <c r="Q39" s="37">
        <f>VLOOKUP(Table1[[#This Row],[INSTANT]],[1]dataset_2!$A:$D,4,FALSE)</f>
        <v>0.32840000000000003</v>
      </c>
      <c r="R39" s="37">
        <f>VLOOKUP(Table1[[#This Row],[INSTANT]],[1]dataset_2!$A:$G,5,0)</f>
        <v>11</v>
      </c>
      <c r="S39" s="38">
        <f>VLOOKUP(Table1[[#This Row],[INSTANT]],[1]dataset_2!$A:$G,6,0)</f>
        <v>20</v>
      </c>
      <c r="T39" s="38">
        <f>VLOOKUP(Table1[[#This Row],[INSTANT]],[1]dataset_2!$A:$G,7,0)</f>
        <v>31</v>
      </c>
    </row>
    <row r="40" spans="1:20" ht="15.75" customHeight="1" x14ac:dyDescent="0.15">
      <c r="A40" s="35">
        <v>39</v>
      </c>
      <c r="B40" s="27">
        <v>40545</v>
      </c>
      <c r="C40" s="8" t="str">
        <f t="shared" si="0"/>
        <v>2011</v>
      </c>
      <c r="D40" s="8" t="str">
        <f t="shared" si="1"/>
        <v>02</v>
      </c>
      <c r="E40" s="7">
        <v>1</v>
      </c>
      <c r="F40" s="7">
        <v>0</v>
      </c>
      <c r="G40" s="7">
        <v>1</v>
      </c>
      <c r="H40" s="7">
        <v>15</v>
      </c>
      <c r="I40" s="7" t="b">
        <v>0</v>
      </c>
      <c r="J40" s="22">
        <f>--Table1[[#This Row],[HOLIDAY]]</f>
        <v>0</v>
      </c>
      <c r="K40" s="9">
        <v>0</v>
      </c>
      <c r="L40" s="7">
        <v>3</v>
      </c>
      <c r="M40" s="7">
        <f>LEN(TEXT(Table1[[#This Row],[WEATHER]],"0"))</f>
        <v>1</v>
      </c>
      <c r="N40" s="36">
        <v>0.34</v>
      </c>
      <c r="O40" s="37">
        <f>VLOOKUP(Table1[[#This Row],[INSTANT]],[1]dataset_2!$A:$G,2,FALSE)</f>
        <v>0.21210000000000001</v>
      </c>
      <c r="P40" s="37">
        <f>VLOOKUP(Table1[[#This Row],[INSTANT]],[1]dataset_2!$A:$G,3,0)</f>
        <v>0.44</v>
      </c>
      <c r="Q40" s="37">
        <f>VLOOKUP(Table1[[#This Row],[INSTANT]],[1]dataset_2!$A:$D,4,FALSE)</f>
        <v>0.29849999999999999</v>
      </c>
      <c r="R40" s="37">
        <f>VLOOKUP(Table1[[#This Row],[INSTANT]],[1]dataset_2!$A:$G,5,0)</f>
        <v>0</v>
      </c>
      <c r="S40" s="38">
        <f>VLOOKUP(Table1[[#This Row],[INSTANT]],[1]dataset_2!$A:$G,6,0)</f>
        <v>9</v>
      </c>
      <c r="T40" s="38">
        <f>VLOOKUP(Table1[[#This Row],[INSTANT]],[1]dataset_2!$A:$G,7,0)</f>
        <v>9</v>
      </c>
    </row>
    <row r="41" spans="1:20" ht="15.75" customHeight="1" x14ac:dyDescent="0.15">
      <c r="A41" s="35">
        <v>40</v>
      </c>
      <c r="B41" s="27">
        <v>40545</v>
      </c>
      <c r="C41" s="8" t="str">
        <f t="shared" si="0"/>
        <v>2011</v>
      </c>
      <c r="D41" s="8" t="str">
        <f t="shared" si="1"/>
        <v>02</v>
      </c>
      <c r="E41" s="7">
        <v>1</v>
      </c>
      <c r="F41" s="7">
        <v>0</v>
      </c>
      <c r="G41" s="7">
        <v>1</v>
      </c>
      <c r="H41" s="7">
        <v>16</v>
      </c>
      <c r="I41" s="7" t="b">
        <v>0</v>
      </c>
      <c r="J41" s="22">
        <f>--Table1[[#This Row],[HOLIDAY]]</f>
        <v>0</v>
      </c>
      <c r="K41" s="9">
        <v>0</v>
      </c>
      <c r="L41" s="7">
        <v>3</v>
      </c>
      <c r="M41" s="7">
        <f>LEN(TEXT(Table1[[#This Row],[WEATHER]],"0"))</f>
        <v>1</v>
      </c>
      <c r="N41" s="36">
        <v>0.34</v>
      </c>
      <c r="O41" s="37">
        <f>VLOOKUP(Table1[[#This Row],[INSTANT]],[1]dataset_2!$A:$G,2,FALSE)</f>
        <v>0.2273</v>
      </c>
      <c r="P41" s="37">
        <f>VLOOKUP(Table1[[#This Row],[INSTANT]],[1]dataset_2!$A:$G,3,0)</f>
        <v>0.47</v>
      </c>
      <c r="Q41" s="37">
        <f>VLOOKUP(Table1[[#This Row],[INSTANT]],[1]dataset_2!$A:$D,4,FALSE)</f>
        <v>0.16420000000000001</v>
      </c>
      <c r="R41" s="37">
        <f>VLOOKUP(Table1[[#This Row],[INSTANT]],[1]dataset_2!$A:$G,5,0)</f>
        <v>0</v>
      </c>
      <c r="S41" s="38">
        <f>VLOOKUP(Table1[[#This Row],[INSTANT]],[1]dataset_2!$A:$G,6,0)</f>
        <v>8</v>
      </c>
      <c r="T41" s="38">
        <f>VLOOKUP(Table1[[#This Row],[INSTANT]],[1]dataset_2!$A:$G,7,0)</f>
        <v>8</v>
      </c>
    </row>
    <row r="42" spans="1:20" ht="15.75" customHeight="1" x14ac:dyDescent="0.15">
      <c r="A42" s="35">
        <v>41</v>
      </c>
      <c r="B42" s="27">
        <v>40545</v>
      </c>
      <c r="C42" s="8" t="str">
        <f t="shared" si="0"/>
        <v>2011</v>
      </c>
      <c r="D42" s="8" t="str">
        <f t="shared" si="1"/>
        <v>02</v>
      </c>
      <c r="E42" s="7">
        <v>1</v>
      </c>
      <c r="F42" s="7">
        <v>0</v>
      </c>
      <c r="G42" s="7">
        <v>1</v>
      </c>
      <c r="H42" s="7">
        <v>17</v>
      </c>
      <c r="I42" s="7" t="b">
        <v>0</v>
      </c>
      <c r="J42" s="22">
        <f>--Table1[[#This Row],[HOLIDAY]]</f>
        <v>0</v>
      </c>
      <c r="K42" s="9">
        <v>0</v>
      </c>
      <c r="L42" s="7">
        <v>1</v>
      </c>
      <c r="M42" s="7">
        <f>LEN(TEXT(Table1[[#This Row],[WEATHER]],"0"))</f>
        <v>1</v>
      </c>
      <c r="N42" s="36">
        <v>0.34</v>
      </c>
      <c r="O42" s="37">
        <f>VLOOKUP(Table1[[#This Row],[INSTANT]],[1]dataset_2!$A:$G,2,FALSE)</f>
        <v>0.19700000000000001</v>
      </c>
      <c r="P42" s="37">
        <f>VLOOKUP(Table1[[#This Row],[INSTANT]],[1]dataset_2!$A:$G,3,0)</f>
        <v>0.44</v>
      </c>
      <c r="Q42" s="37">
        <f>VLOOKUP(Table1[[#This Row],[INSTANT]],[1]dataset_2!$A:$D,4,FALSE)</f>
        <v>0.35820000000000002</v>
      </c>
      <c r="R42" s="37">
        <f>VLOOKUP(Table1[[#This Row],[INSTANT]],[1]dataset_2!$A:$G,5,0)</f>
        <v>0</v>
      </c>
      <c r="S42" s="38">
        <f>VLOOKUP(Table1[[#This Row],[INSTANT]],[1]dataset_2!$A:$G,6,0)</f>
        <v>5</v>
      </c>
      <c r="T42" s="38">
        <f>VLOOKUP(Table1[[#This Row],[INSTANT]],[1]dataset_2!$A:$G,7,0)</f>
        <v>5</v>
      </c>
    </row>
    <row r="43" spans="1:20" ht="15.75" customHeight="1" x14ac:dyDescent="0.15">
      <c r="A43" s="35">
        <v>42</v>
      </c>
      <c r="B43" s="27">
        <v>40545</v>
      </c>
      <c r="C43" s="8" t="str">
        <f t="shared" si="0"/>
        <v>2011</v>
      </c>
      <c r="D43" s="8" t="str">
        <f t="shared" si="1"/>
        <v>02</v>
      </c>
      <c r="E43" s="7">
        <v>1</v>
      </c>
      <c r="F43" s="7">
        <v>0</v>
      </c>
      <c r="G43" s="7">
        <v>1</v>
      </c>
      <c r="H43" s="7">
        <v>18</v>
      </c>
      <c r="I43" s="7" t="b">
        <v>0</v>
      </c>
      <c r="J43" s="22">
        <f>--Table1[[#This Row],[HOLIDAY]]</f>
        <v>0</v>
      </c>
      <c r="K43" s="9">
        <v>0</v>
      </c>
      <c r="L43" s="7">
        <v>2</v>
      </c>
      <c r="M43" s="7">
        <f>LEN(TEXT(Table1[[#This Row],[WEATHER]],"0"))</f>
        <v>1</v>
      </c>
      <c r="N43" s="36">
        <v>0.36</v>
      </c>
      <c r="O43" s="37">
        <f>VLOOKUP(Table1[[#This Row],[INSTANT]],[1]dataset_2!$A:$G,2,FALSE)</f>
        <v>0.13639999999999999</v>
      </c>
      <c r="P43" s="37">
        <f>VLOOKUP(Table1[[#This Row],[INSTANT]],[1]dataset_2!$A:$G,3,0)</f>
        <v>0.47</v>
      </c>
      <c r="Q43" s="37">
        <f>VLOOKUP(Table1[[#This Row],[INSTANT]],[1]dataset_2!$A:$D,4,FALSE)</f>
        <v>0.3881</v>
      </c>
      <c r="R43" s="37">
        <f>VLOOKUP(Table1[[#This Row],[INSTANT]],[1]dataset_2!$A:$G,5,0)</f>
        <v>0</v>
      </c>
      <c r="S43" s="38">
        <f>VLOOKUP(Table1[[#This Row],[INSTANT]],[1]dataset_2!$A:$G,6,0)</f>
        <v>1</v>
      </c>
      <c r="T43" s="38">
        <f>VLOOKUP(Table1[[#This Row],[INSTANT]],[1]dataset_2!$A:$G,7,0)</f>
        <v>1</v>
      </c>
    </row>
    <row r="44" spans="1:20" ht="15.75" customHeight="1" x14ac:dyDescent="0.15">
      <c r="A44" s="35">
        <v>43</v>
      </c>
      <c r="B44" s="27">
        <v>40545</v>
      </c>
      <c r="C44" s="8" t="str">
        <f t="shared" si="0"/>
        <v>2011</v>
      </c>
      <c r="D44" s="8" t="str">
        <f t="shared" si="1"/>
        <v>02</v>
      </c>
      <c r="E44" s="7">
        <v>1</v>
      </c>
      <c r="F44" s="7">
        <v>0</v>
      </c>
      <c r="G44" s="7">
        <v>1</v>
      </c>
      <c r="H44" s="7">
        <v>19</v>
      </c>
      <c r="I44" s="7" t="b">
        <v>0</v>
      </c>
      <c r="J44" s="22">
        <f>--Table1[[#This Row],[HOLIDAY]]</f>
        <v>0</v>
      </c>
      <c r="K44" s="9">
        <v>0</v>
      </c>
      <c r="L44" s="7">
        <v>1</v>
      </c>
      <c r="M44" s="7">
        <f>LEN(TEXT(Table1[[#This Row],[WEATHER]],"0"))</f>
        <v>1</v>
      </c>
      <c r="N44" s="36">
        <v>0.32</v>
      </c>
      <c r="O44" s="37">
        <f>VLOOKUP(Table1[[#This Row],[INSTANT]],[1]dataset_2!$A:$G,2,FALSE)</f>
        <v>0.13639999999999999</v>
      </c>
      <c r="P44" s="37">
        <f>VLOOKUP(Table1[[#This Row],[INSTANT]],[1]dataset_2!$A:$G,3,0)</f>
        <v>0.47</v>
      </c>
      <c r="Q44" s="37">
        <f>VLOOKUP(Table1[[#This Row],[INSTANT]],[1]dataset_2!$A:$D,4,FALSE)</f>
        <v>0.28360000000000002</v>
      </c>
      <c r="R44" s="37">
        <f>VLOOKUP(Table1[[#This Row],[INSTANT]],[1]dataset_2!$A:$G,5,0)</f>
        <v>0</v>
      </c>
      <c r="S44" s="38">
        <f>VLOOKUP(Table1[[#This Row],[INSTANT]],[1]dataset_2!$A:$G,6,0)</f>
        <v>3</v>
      </c>
      <c r="T44" s="38">
        <f>VLOOKUP(Table1[[#This Row],[INSTANT]],[1]dataset_2!$A:$G,7,0)</f>
        <v>3</v>
      </c>
    </row>
    <row r="45" spans="1:20" ht="15.75" customHeight="1" x14ac:dyDescent="0.15">
      <c r="A45" s="35">
        <v>44</v>
      </c>
      <c r="B45" s="27">
        <v>40545</v>
      </c>
      <c r="C45" s="8" t="str">
        <f t="shared" si="0"/>
        <v>2011</v>
      </c>
      <c r="D45" s="8" t="str">
        <f t="shared" si="1"/>
        <v>02</v>
      </c>
      <c r="E45" s="7">
        <v>1</v>
      </c>
      <c r="F45" s="7">
        <v>0</v>
      </c>
      <c r="G45" s="7">
        <v>1</v>
      </c>
      <c r="H45" s="7">
        <v>20</v>
      </c>
      <c r="I45" s="7" t="b">
        <v>0</v>
      </c>
      <c r="J45" s="22">
        <f>--Table1[[#This Row],[HOLIDAY]]</f>
        <v>0</v>
      </c>
      <c r="K45" s="9">
        <v>0</v>
      </c>
      <c r="L45" s="7">
        <v>1</v>
      </c>
      <c r="M45" s="7">
        <f>LEN(TEXT(Table1[[#This Row],[WEATHER]],"0"))</f>
        <v>1</v>
      </c>
      <c r="N45" s="36">
        <v>0.3</v>
      </c>
      <c r="O45" s="37">
        <f>VLOOKUP(Table1[[#This Row],[INSTANT]],[1]dataset_2!$A:$G,2,FALSE)</f>
        <v>0.1061</v>
      </c>
      <c r="P45" s="37">
        <f>VLOOKUP(Table1[[#This Row],[INSTANT]],[1]dataset_2!$A:$G,3,0)</f>
        <v>0.5</v>
      </c>
      <c r="Q45" s="37">
        <f>VLOOKUP(Table1[[#This Row],[INSTANT]],[1]dataset_2!$A:$D,4,FALSE)</f>
        <v>0.3881</v>
      </c>
      <c r="R45" s="37">
        <f>VLOOKUP(Table1[[#This Row],[INSTANT]],[1]dataset_2!$A:$G,5,0)</f>
        <v>0</v>
      </c>
      <c r="S45" s="38">
        <f>VLOOKUP(Table1[[#This Row],[INSTANT]],[1]dataset_2!$A:$G,6,0)</f>
        <v>30</v>
      </c>
      <c r="T45" s="38">
        <f>VLOOKUP(Table1[[#This Row],[INSTANT]],[1]dataset_2!$A:$G,7,0)</f>
        <v>30</v>
      </c>
    </row>
    <row r="46" spans="1:20" ht="15.75" customHeight="1" x14ac:dyDescent="0.15">
      <c r="A46" s="35">
        <v>45</v>
      </c>
      <c r="B46" s="27">
        <v>40545</v>
      </c>
      <c r="C46" s="8" t="str">
        <f t="shared" si="0"/>
        <v>2011</v>
      </c>
      <c r="D46" s="8" t="str">
        <f t="shared" si="1"/>
        <v>02</v>
      </c>
      <c r="E46" s="7">
        <v>1</v>
      </c>
      <c r="F46" s="7">
        <v>0</v>
      </c>
      <c r="G46" s="7">
        <v>1</v>
      </c>
      <c r="H46" s="7">
        <v>21</v>
      </c>
      <c r="I46" s="7" t="b">
        <v>0</v>
      </c>
      <c r="J46" s="22">
        <f>--Table1[[#This Row],[HOLIDAY]]</f>
        <v>0</v>
      </c>
      <c r="K46" s="9">
        <v>0</v>
      </c>
      <c r="L46" s="7">
        <v>1</v>
      </c>
      <c r="M46" s="7">
        <f>LEN(TEXT(Table1[[#This Row],[WEATHER]],"0"))</f>
        <v>1</v>
      </c>
      <c r="N46" s="36">
        <v>0.26</v>
      </c>
      <c r="O46" s="37">
        <f>VLOOKUP(Table1[[#This Row],[INSTANT]],[1]dataset_2!$A:$G,2,FALSE)</f>
        <v>0.13639999999999999</v>
      </c>
      <c r="P46" s="37">
        <f>VLOOKUP(Table1[[#This Row],[INSTANT]],[1]dataset_2!$A:$G,3,0)</f>
        <v>0.5</v>
      </c>
      <c r="Q46" s="37">
        <f>VLOOKUP(Table1[[#This Row],[INSTANT]],[1]dataset_2!$A:$D,4,FALSE)</f>
        <v>0.19400000000000001</v>
      </c>
      <c r="R46" s="37">
        <f>VLOOKUP(Table1[[#This Row],[INSTANT]],[1]dataset_2!$A:$G,5,0)</f>
        <v>1</v>
      </c>
      <c r="S46" s="38">
        <f>VLOOKUP(Table1[[#This Row],[INSTANT]],[1]dataset_2!$A:$G,6,0)</f>
        <v>63</v>
      </c>
      <c r="T46" s="38">
        <f>VLOOKUP(Table1[[#This Row],[INSTANT]],[1]dataset_2!$A:$G,7,0)</f>
        <v>64</v>
      </c>
    </row>
    <row r="47" spans="1:20" ht="15.75" customHeight="1" x14ac:dyDescent="0.15">
      <c r="A47" s="35">
        <v>46</v>
      </c>
      <c r="B47" s="27">
        <v>40545</v>
      </c>
      <c r="C47" s="8" t="str">
        <f t="shared" si="0"/>
        <v>2011</v>
      </c>
      <c r="D47" s="8" t="str">
        <f t="shared" si="1"/>
        <v>02</v>
      </c>
      <c r="E47" s="7">
        <v>1</v>
      </c>
      <c r="F47" s="7">
        <v>0</v>
      </c>
      <c r="G47" s="7">
        <v>1</v>
      </c>
      <c r="H47" s="7">
        <v>22</v>
      </c>
      <c r="I47" s="7" t="b">
        <v>0</v>
      </c>
      <c r="J47" s="22">
        <f>--Table1[[#This Row],[HOLIDAY]]</f>
        <v>0</v>
      </c>
      <c r="K47" s="9">
        <v>0</v>
      </c>
      <c r="L47" s="7">
        <v>1</v>
      </c>
      <c r="M47" s="7">
        <f>LEN(TEXT(Table1[[#This Row],[WEATHER]],"0"))</f>
        <v>1</v>
      </c>
      <c r="N47" s="36">
        <v>0.24</v>
      </c>
      <c r="O47" s="37">
        <f>VLOOKUP(Table1[[#This Row],[INSTANT]],[1]dataset_2!$A:$G,2,FALSE)</f>
        <v>0.1212</v>
      </c>
      <c r="P47" s="37">
        <f>VLOOKUP(Table1[[#This Row],[INSTANT]],[1]dataset_2!$A:$G,3,0)</f>
        <v>0.5</v>
      </c>
      <c r="Q47" s="37">
        <f>VLOOKUP(Table1[[#This Row],[INSTANT]],[1]dataset_2!$A:$D,4,FALSE)</f>
        <v>0.28360000000000002</v>
      </c>
      <c r="R47" s="37">
        <f>VLOOKUP(Table1[[#This Row],[INSTANT]],[1]dataset_2!$A:$G,5,0)</f>
        <v>1</v>
      </c>
      <c r="S47" s="38">
        <f>VLOOKUP(Table1[[#This Row],[INSTANT]],[1]dataset_2!$A:$G,6,0)</f>
        <v>153</v>
      </c>
      <c r="T47" s="38">
        <f>VLOOKUP(Table1[[#This Row],[INSTANT]],[1]dataset_2!$A:$G,7,0)</f>
        <v>154</v>
      </c>
    </row>
    <row r="48" spans="1:20" ht="15.75" customHeight="1" x14ac:dyDescent="0.15">
      <c r="A48" s="35">
        <v>47</v>
      </c>
      <c r="B48" s="27">
        <v>40545</v>
      </c>
      <c r="C48" s="8" t="str">
        <f t="shared" si="0"/>
        <v>2011</v>
      </c>
      <c r="D48" s="8" t="str">
        <f t="shared" si="1"/>
        <v>02</v>
      </c>
      <c r="E48" s="7">
        <v>1</v>
      </c>
      <c r="F48" s="7">
        <v>0</v>
      </c>
      <c r="G48" s="7">
        <v>1</v>
      </c>
      <c r="H48" s="7">
        <v>23</v>
      </c>
      <c r="I48" s="7" t="b">
        <v>0</v>
      </c>
      <c r="J48" s="22">
        <f>--Table1[[#This Row],[HOLIDAY]]</f>
        <v>0</v>
      </c>
      <c r="K48" s="9">
        <v>0</v>
      </c>
      <c r="L48" s="7">
        <v>1</v>
      </c>
      <c r="M48" s="7">
        <f>LEN(TEXT(Table1[[#This Row],[WEATHER]],"0"))</f>
        <v>1</v>
      </c>
      <c r="N48" s="36">
        <v>0.22</v>
      </c>
      <c r="O48" s="37">
        <f>VLOOKUP(Table1[[#This Row],[INSTANT]],[1]dataset_2!$A:$G,2,FALSE)</f>
        <v>0.13639999999999999</v>
      </c>
      <c r="P48" s="37">
        <f>VLOOKUP(Table1[[#This Row],[INSTANT]],[1]dataset_2!$A:$G,3,0)</f>
        <v>0.43</v>
      </c>
      <c r="Q48" s="37">
        <f>VLOOKUP(Table1[[#This Row],[INSTANT]],[1]dataset_2!$A:$D,4,FALSE)</f>
        <v>0.3881</v>
      </c>
      <c r="R48" s="37">
        <f>VLOOKUP(Table1[[#This Row],[INSTANT]],[1]dataset_2!$A:$G,5,0)</f>
        <v>7</v>
      </c>
      <c r="S48" s="38">
        <f>VLOOKUP(Table1[[#This Row],[INSTANT]],[1]dataset_2!$A:$G,6,0)</f>
        <v>81</v>
      </c>
      <c r="T48" s="38">
        <f>VLOOKUP(Table1[[#This Row],[INSTANT]],[1]dataset_2!$A:$G,7,0)</f>
        <v>88</v>
      </c>
    </row>
    <row r="49" spans="1:20" ht="15.75" customHeight="1" x14ac:dyDescent="0.15">
      <c r="A49" s="35">
        <v>48</v>
      </c>
      <c r="B49" s="27">
        <v>40546</v>
      </c>
      <c r="C49" s="8" t="str">
        <f t="shared" si="0"/>
        <v>2011</v>
      </c>
      <c r="D49" s="8" t="str">
        <f t="shared" si="1"/>
        <v>03</v>
      </c>
      <c r="E49" s="7">
        <v>1</v>
      </c>
      <c r="F49" s="7">
        <v>0</v>
      </c>
      <c r="G49" s="7">
        <v>1</v>
      </c>
      <c r="H49" s="7">
        <v>0</v>
      </c>
      <c r="I49" s="7" t="b">
        <v>0</v>
      </c>
      <c r="J49" s="22">
        <f>--Table1[[#This Row],[HOLIDAY]]</f>
        <v>0</v>
      </c>
      <c r="K49" s="9">
        <v>1</v>
      </c>
      <c r="L49" s="7">
        <v>1</v>
      </c>
      <c r="M49" s="7">
        <f>LEN(TEXT(Table1[[#This Row],[WEATHER]],"0"))</f>
        <v>1</v>
      </c>
      <c r="N49" s="36">
        <v>0.22</v>
      </c>
      <c r="O49" s="37">
        <f>VLOOKUP(Table1[[#This Row],[INSTANT]],[1]dataset_2!$A:$G,2,FALSE)</f>
        <v>0.16669999999999999</v>
      </c>
      <c r="P49" s="37">
        <f>VLOOKUP(Table1[[#This Row],[INSTANT]],[1]dataset_2!$A:$G,3,0)</f>
        <v>0.43</v>
      </c>
      <c r="Q49" s="37">
        <f>VLOOKUP(Table1[[#This Row],[INSTANT]],[1]dataset_2!$A:$D,4,FALSE)</f>
        <v>0.25369999999999998</v>
      </c>
      <c r="R49" s="37">
        <f>VLOOKUP(Table1[[#This Row],[INSTANT]],[1]dataset_2!$A:$G,5,0)</f>
        <v>11</v>
      </c>
      <c r="S49" s="38">
        <f>VLOOKUP(Table1[[#This Row],[INSTANT]],[1]dataset_2!$A:$G,6,0)</f>
        <v>33</v>
      </c>
      <c r="T49" s="38">
        <f>VLOOKUP(Table1[[#This Row],[INSTANT]],[1]dataset_2!$A:$G,7,0)</f>
        <v>44</v>
      </c>
    </row>
    <row r="50" spans="1:20" ht="15.75" customHeight="1" x14ac:dyDescent="0.15">
      <c r="A50" s="35">
        <v>49</v>
      </c>
      <c r="B50" s="27">
        <v>40546</v>
      </c>
      <c r="C50" s="8" t="str">
        <f t="shared" si="0"/>
        <v>2011</v>
      </c>
      <c r="D50" s="8" t="str">
        <f t="shared" si="1"/>
        <v>03</v>
      </c>
      <c r="E50" s="7">
        <v>1</v>
      </c>
      <c r="F50" s="7">
        <v>0</v>
      </c>
      <c r="G50" s="7">
        <v>1</v>
      </c>
      <c r="H50" s="7">
        <v>1</v>
      </c>
      <c r="I50" s="7" t="b">
        <v>0</v>
      </c>
      <c r="J50" s="22">
        <f>--Table1[[#This Row],[HOLIDAY]]</f>
        <v>0</v>
      </c>
      <c r="K50" s="9">
        <v>1</v>
      </c>
      <c r="L50" s="7">
        <v>1</v>
      </c>
      <c r="M50" s="7">
        <f>LEN(TEXT(Table1[[#This Row],[WEATHER]],"0"))</f>
        <v>1</v>
      </c>
      <c r="N50" s="36">
        <v>0.2</v>
      </c>
      <c r="O50" s="37">
        <f>VLOOKUP(Table1[[#This Row],[INSTANT]],[1]dataset_2!$A:$G,2,FALSE)</f>
        <v>0.18179999999999999</v>
      </c>
      <c r="P50" s="37">
        <f>VLOOKUP(Table1[[#This Row],[INSTANT]],[1]dataset_2!$A:$G,3,0)</f>
        <v>0.4</v>
      </c>
      <c r="Q50" s="37">
        <f>VLOOKUP(Table1[[#This Row],[INSTANT]],[1]dataset_2!$A:$D,4,FALSE)</f>
        <v>0.32840000000000003</v>
      </c>
      <c r="R50" s="37">
        <f>VLOOKUP(Table1[[#This Row],[INSTANT]],[1]dataset_2!$A:$G,5,0)</f>
        <v>10</v>
      </c>
      <c r="S50" s="38">
        <f>VLOOKUP(Table1[[#This Row],[INSTANT]],[1]dataset_2!$A:$G,6,0)</f>
        <v>41</v>
      </c>
      <c r="T50" s="38">
        <f>VLOOKUP(Table1[[#This Row],[INSTANT]],[1]dataset_2!$A:$G,7,0)</f>
        <v>51</v>
      </c>
    </row>
    <row r="51" spans="1:20" ht="15.75" customHeight="1" x14ac:dyDescent="0.15">
      <c r="A51" s="35">
        <v>50</v>
      </c>
      <c r="B51" s="27">
        <v>40546</v>
      </c>
      <c r="C51" s="8" t="str">
        <f t="shared" si="0"/>
        <v>2011</v>
      </c>
      <c r="D51" s="8" t="str">
        <f t="shared" si="1"/>
        <v>03</v>
      </c>
      <c r="E51" s="7">
        <v>1</v>
      </c>
      <c r="F51" s="7">
        <v>0</v>
      </c>
      <c r="G51" s="7">
        <v>1</v>
      </c>
      <c r="H51" s="7">
        <v>4</v>
      </c>
      <c r="I51" s="7" t="b">
        <v>0</v>
      </c>
      <c r="J51" s="22">
        <f>--Table1[[#This Row],[HOLIDAY]]</f>
        <v>0</v>
      </c>
      <c r="K51" s="9">
        <v>1</v>
      </c>
      <c r="L51" s="7">
        <v>1</v>
      </c>
      <c r="M51" s="7">
        <f>LEN(TEXT(Table1[[#This Row],[WEATHER]],"0"))</f>
        <v>1</v>
      </c>
      <c r="N51" s="36">
        <v>0.16</v>
      </c>
      <c r="O51" s="37">
        <f>VLOOKUP(Table1[[#This Row],[INSTANT]],[1]dataset_2!$A:$G,2,FALSE)</f>
        <v>0.21210000000000001</v>
      </c>
      <c r="P51" s="37">
        <f>VLOOKUP(Table1[[#This Row],[INSTANT]],[1]dataset_2!$A:$G,3,0)</f>
        <v>0.35</v>
      </c>
      <c r="Q51" s="37">
        <f>VLOOKUP(Table1[[#This Row],[INSTANT]],[1]dataset_2!$A:$D,4,FALSE)</f>
        <v>0.29849999999999999</v>
      </c>
      <c r="R51" s="37">
        <f>VLOOKUP(Table1[[#This Row],[INSTANT]],[1]dataset_2!$A:$G,5,0)</f>
        <v>13</v>
      </c>
      <c r="S51" s="38">
        <f>VLOOKUP(Table1[[#This Row],[INSTANT]],[1]dataset_2!$A:$G,6,0)</f>
        <v>48</v>
      </c>
      <c r="T51" s="38">
        <f>VLOOKUP(Table1[[#This Row],[INSTANT]],[1]dataset_2!$A:$G,7,0)</f>
        <v>61</v>
      </c>
    </row>
    <row r="52" spans="1:20" ht="15.75" customHeight="1" x14ac:dyDescent="0.15">
      <c r="A52" s="35">
        <v>51</v>
      </c>
      <c r="B52" s="27">
        <v>40546</v>
      </c>
      <c r="C52" s="8" t="str">
        <f t="shared" si="0"/>
        <v>2011</v>
      </c>
      <c r="D52" s="8" t="str">
        <f t="shared" si="1"/>
        <v>03</v>
      </c>
      <c r="E52" s="7">
        <v>1</v>
      </c>
      <c r="F52" s="7">
        <v>0</v>
      </c>
      <c r="G52" s="7">
        <v>1</v>
      </c>
      <c r="H52" s="7">
        <v>5</v>
      </c>
      <c r="I52" s="7" t="b">
        <v>0</v>
      </c>
      <c r="J52" s="22">
        <f>--Table1[[#This Row],[HOLIDAY]]</f>
        <v>0</v>
      </c>
      <c r="K52" s="9">
        <v>1</v>
      </c>
      <c r="L52" s="7">
        <v>1</v>
      </c>
      <c r="M52" s="7">
        <f>LEN(TEXT(Table1[[#This Row],[WEATHER]],"0"))</f>
        <v>1</v>
      </c>
      <c r="N52" s="36">
        <v>0.16</v>
      </c>
      <c r="O52" s="37">
        <f>VLOOKUP(Table1[[#This Row],[INSTANT]],[1]dataset_2!$A:$G,2,FALSE)</f>
        <v>0.2424</v>
      </c>
      <c r="P52" s="37">
        <f>VLOOKUP(Table1[[#This Row],[INSTANT]],[1]dataset_2!$A:$G,3,0)</f>
        <v>0.3</v>
      </c>
      <c r="Q52" s="37">
        <f>VLOOKUP(Table1[[#This Row],[INSTANT]],[1]dataset_2!$A:$D,4,FALSE)</f>
        <v>0.28360000000000002</v>
      </c>
      <c r="R52" s="37">
        <f>VLOOKUP(Table1[[#This Row],[INSTANT]],[1]dataset_2!$A:$G,5,0)</f>
        <v>11</v>
      </c>
      <c r="S52" s="38">
        <f>VLOOKUP(Table1[[#This Row],[INSTANT]],[1]dataset_2!$A:$G,6,0)</f>
        <v>66</v>
      </c>
      <c r="T52" s="38">
        <f>VLOOKUP(Table1[[#This Row],[INSTANT]],[1]dataset_2!$A:$G,7,0)</f>
        <v>77</v>
      </c>
    </row>
    <row r="53" spans="1:20" ht="15.75" customHeight="1" x14ac:dyDescent="0.15">
      <c r="A53" s="35">
        <v>52</v>
      </c>
      <c r="B53" s="27">
        <v>40546</v>
      </c>
      <c r="C53" s="8" t="str">
        <f t="shared" si="0"/>
        <v>2011</v>
      </c>
      <c r="D53" s="8" t="str">
        <f t="shared" si="1"/>
        <v>03</v>
      </c>
      <c r="E53" s="7">
        <v>1</v>
      </c>
      <c r="F53" s="7">
        <v>0</v>
      </c>
      <c r="G53" s="7">
        <v>1</v>
      </c>
      <c r="H53" s="7">
        <v>6</v>
      </c>
      <c r="I53" s="7" t="b">
        <v>0</v>
      </c>
      <c r="J53" s="22">
        <f>--Table1[[#This Row],[HOLIDAY]]</f>
        <v>0</v>
      </c>
      <c r="K53" s="9">
        <v>1</v>
      </c>
      <c r="L53" s="7">
        <v>1</v>
      </c>
      <c r="M53" s="7">
        <f>LEN(TEXT(Table1[[#This Row],[WEATHER]],"0"))</f>
        <v>1</v>
      </c>
      <c r="N53" s="36">
        <v>0.14000000000000001</v>
      </c>
      <c r="O53" s="37">
        <f>VLOOKUP(Table1[[#This Row],[INSTANT]],[1]dataset_2!$A:$G,2,FALSE)</f>
        <v>0.2424</v>
      </c>
      <c r="P53" s="37">
        <f>VLOOKUP(Table1[[#This Row],[INSTANT]],[1]dataset_2!$A:$G,3,0)</f>
        <v>0.3</v>
      </c>
      <c r="Q53" s="37">
        <f>VLOOKUP(Table1[[#This Row],[INSTANT]],[1]dataset_2!$A:$D,4,FALSE)</f>
        <v>0.25369999999999998</v>
      </c>
      <c r="R53" s="37">
        <f>VLOOKUP(Table1[[#This Row],[INSTANT]],[1]dataset_2!$A:$G,5,0)</f>
        <v>14</v>
      </c>
      <c r="S53" s="38">
        <f>VLOOKUP(Table1[[#This Row],[INSTANT]],[1]dataset_2!$A:$G,6,0)</f>
        <v>58</v>
      </c>
      <c r="T53" s="38">
        <f>VLOOKUP(Table1[[#This Row],[INSTANT]],[1]dataset_2!$A:$G,7,0)</f>
        <v>72</v>
      </c>
    </row>
    <row r="54" spans="1:20" ht="15.75" customHeight="1" x14ac:dyDescent="0.15">
      <c r="A54" s="35">
        <v>53</v>
      </c>
      <c r="B54" s="27">
        <v>40546</v>
      </c>
      <c r="C54" s="8" t="str">
        <f t="shared" si="0"/>
        <v>2011</v>
      </c>
      <c r="D54" s="8" t="str">
        <f t="shared" si="1"/>
        <v>03</v>
      </c>
      <c r="E54" s="7">
        <v>1</v>
      </c>
      <c r="F54" s="7">
        <v>0</v>
      </c>
      <c r="G54" s="7">
        <v>1</v>
      </c>
      <c r="H54" s="7">
        <v>7</v>
      </c>
      <c r="I54" s="7" t="b">
        <v>0</v>
      </c>
      <c r="J54" s="22">
        <f>--Table1[[#This Row],[HOLIDAY]]</f>
        <v>0</v>
      </c>
      <c r="K54" s="9">
        <v>1</v>
      </c>
      <c r="L54" s="7">
        <v>1</v>
      </c>
      <c r="M54" s="7">
        <f>LEN(TEXT(Table1[[#This Row],[WEATHER]],"0"))</f>
        <v>1</v>
      </c>
      <c r="N54" s="36">
        <v>0.14000000000000001</v>
      </c>
      <c r="O54" s="37">
        <f>VLOOKUP(Table1[[#This Row],[INSTANT]],[1]dataset_2!$A:$G,2,FALSE)</f>
        <v>0.2424</v>
      </c>
      <c r="P54" s="37">
        <f>VLOOKUP(Table1[[#This Row],[INSTANT]],[1]dataset_2!$A:$G,3,0)</f>
        <v>0.3</v>
      </c>
      <c r="Q54" s="37">
        <f>VLOOKUP(Table1[[#This Row],[INSTANT]],[1]dataset_2!$A:$D,4,FALSE)</f>
        <v>0.25369999999999998</v>
      </c>
      <c r="R54" s="37">
        <f>VLOOKUP(Table1[[#This Row],[INSTANT]],[1]dataset_2!$A:$G,5,0)</f>
        <v>9</v>
      </c>
      <c r="S54" s="38">
        <f>VLOOKUP(Table1[[#This Row],[INSTANT]],[1]dataset_2!$A:$G,6,0)</f>
        <v>67</v>
      </c>
      <c r="T54" s="38">
        <f>VLOOKUP(Table1[[#This Row],[INSTANT]],[1]dataset_2!$A:$G,7,0)</f>
        <v>76</v>
      </c>
    </row>
    <row r="55" spans="1:20" ht="15.75" customHeight="1" x14ac:dyDescent="0.15">
      <c r="A55" s="35">
        <v>54</v>
      </c>
      <c r="B55" s="27">
        <v>40546</v>
      </c>
      <c r="C55" s="8" t="str">
        <f t="shared" si="0"/>
        <v>2011</v>
      </c>
      <c r="D55" s="8" t="str">
        <f t="shared" si="1"/>
        <v>03</v>
      </c>
      <c r="E55" s="7">
        <v>1</v>
      </c>
      <c r="F55" s="7">
        <v>0</v>
      </c>
      <c r="G55" s="7">
        <v>1</v>
      </c>
      <c r="H55" s="7">
        <v>8</v>
      </c>
      <c r="I55" s="7" t="b">
        <v>0</v>
      </c>
      <c r="J55" s="22">
        <f>--Table1[[#This Row],[HOLIDAY]]</f>
        <v>0</v>
      </c>
      <c r="K55" s="9">
        <v>1</v>
      </c>
      <c r="L55" s="7">
        <v>1</v>
      </c>
      <c r="M55" s="7">
        <f>LEN(TEXT(Table1[[#This Row],[WEATHER]],"0"))</f>
        <v>1</v>
      </c>
      <c r="N55" s="36">
        <v>0.14000000000000001</v>
      </c>
      <c r="O55" s="37">
        <f>VLOOKUP(Table1[[#This Row],[INSTANT]],[1]dataset_2!$A:$G,2,FALSE)</f>
        <v>0.2273</v>
      </c>
      <c r="P55" s="37">
        <f>VLOOKUP(Table1[[#This Row],[INSTANT]],[1]dataset_2!$A:$G,3,0)</f>
        <v>0.3</v>
      </c>
      <c r="Q55" s="37">
        <f>VLOOKUP(Table1[[#This Row],[INSTANT]],[1]dataset_2!$A:$D,4,FALSE)</f>
        <v>0.22389999999999999</v>
      </c>
      <c r="R55" s="37">
        <f>VLOOKUP(Table1[[#This Row],[INSTANT]],[1]dataset_2!$A:$G,5,0)</f>
        <v>11</v>
      </c>
      <c r="S55" s="38">
        <f>VLOOKUP(Table1[[#This Row],[INSTANT]],[1]dataset_2!$A:$G,6,0)</f>
        <v>146</v>
      </c>
      <c r="T55" s="38">
        <f>VLOOKUP(Table1[[#This Row],[INSTANT]],[1]dataset_2!$A:$G,7,0)</f>
        <v>157</v>
      </c>
    </row>
    <row r="56" spans="1:20" ht="15.75" customHeight="1" x14ac:dyDescent="0.15">
      <c r="A56" s="35">
        <v>55</v>
      </c>
      <c r="B56" s="27">
        <v>40546</v>
      </c>
      <c r="C56" s="8" t="str">
        <f t="shared" si="0"/>
        <v>2011</v>
      </c>
      <c r="D56" s="8" t="str">
        <f t="shared" si="1"/>
        <v>03</v>
      </c>
      <c r="E56" s="7">
        <v>1</v>
      </c>
      <c r="F56" s="7">
        <v>0</v>
      </c>
      <c r="G56" s="7">
        <v>1</v>
      </c>
      <c r="H56" s="7">
        <v>9</v>
      </c>
      <c r="I56" s="7" t="b">
        <v>0</v>
      </c>
      <c r="J56" s="22">
        <f>--Table1[[#This Row],[HOLIDAY]]</f>
        <v>0</v>
      </c>
      <c r="K56" s="9">
        <v>1</v>
      </c>
      <c r="L56" s="7">
        <v>1</v>
      </c>
      <c r="M56" s="7">
        <f>LEN(TEXT(Table1[[#This Row],[WEATHER]],"0"))</f>
        <v>1</v>
      </c>
      <c r="N56" s="36">
        <v>0.16</v>
      </c>
      <c r="O56" s="37">
        <f>VLOOKUP(Table1[[#This Row],[INSTANT]],[1]dataset_2!$A:$G,2,FALSE)</f>
        <v>0.2576</v>
      </c>
      <c r="P56" s="37">
        <f>VLOOKUP(Table1[[#This Row],[INSTANT]],[1]dataset_2!$A:$G,3,0)</f>
        <v>0.32</v>
      </c>
      <c r="Q56" s="37">
        <f>VLOOKUP(Table1[[#This Row],[INSTANT]],[1]dataset_2!$A:$D,4,FALSE)</f>
        <v>0.1045</v>
      </c>
      <c r="R56" s="37">
        <f>VLOOKUP(Table1[[#This Row],[INSTANT]],[1]dataset_2!$A:$G,5,0)</f>
        <v>9</v>
      </c>
      <c r="S56" s="38">
        <f>VLOOKUP(Table1[[#This Row],[INSTANT]],[1]dataset_2!$A:$G,6,0)</f>
        <v>148</v>
      </c>
      <c r="T56" s="38">
        <f>VLOOKUP(Table1[[#This Row],[INSTANT]],[1]dataset_2!$A:$G,7,0)</f>
        <v>157</v>
      </c>
    </row>
    <row r="57" spans="1:20" ht="15.75" customHeight="1" x14ac:dyDescent="0.15">
      <c r="A57" s="35">
        <v>56</v>
      </c>
      <c r="B57" s="27">
        <v>40546</v>
      </c>
      <c r="C57" s="8" t="str">
        <f t="shared" si="0"/>
        <v>2011</v>
      </c>
      <c r="D57" s="8" t="str">
        <f t="shared" si="1"/>
        <v>03</v>
      </c>
      <c r="E57" s="7">
        <v>1</v>
      </c>
      <c r="F57" s="7">
        <v>0</v>
      </c>
      <c r="G57" s="7">
        <v>1</v>
      </c>
      <c r="H57" s="7">
        <v>10</v>
      </c>
      <c r="I57" s="7" t="b">
        <v>0</v>
      </c>
      <c r="J57" s="22">
        <f>--Table1[[#This Row],[HOLIDAY]]</f>
        <v>0</v>
      </c>
      <c r="K57" s="9">
        <v>1</v>
      </c>
      <c r="L57" s="7">
        <v>1</v>
      </c>
      <c r="M57" s="7">
        <f>LEN(TEXT(Table1[[#This Row],[WEATHER]],"0"))</f>
        <v>1</v>
      </c>
      <c r="N57" s="36">
        <v>0.18</v>
      </c>
      <c r="O57" s="37">
        <f>VLOOKUP(Table1[[#This Row],[INSTANT]],[1]dataset_2!$A:$G,2,FALSE)</f>
        <v>0.2576</v>
      </c>
      <c r="P57" s="37">
        <f>VLOOKUP(Table1[[#This Row],[INSTANT]],[1]dataset_2!$A:$G,3,0)</f>
        <v>0.47</v>
      </c>
      <c r="Q57" s="37">
        <f>VLOOKUP(Table1[[#This Row],[INSTANT]],[1]dataset_2!$A:$D,4,FALSE)</f>
        <v>0</v>
      </c>
      <c r="R57" s="37">
        <f>VLOOKUP(Table1[[#This Row],[INSTANT]],[1]dataset_2!$A:$G,5,0)</f>
        <v>8</v>
      </c>
      <c r="S57" s="38">
        <f>VLOOKUP(Table1[[#This Row],[INSTANT]],[1]dataset_2!$A:$G,6,0)</f>
        <v>102</v>
      </c>
      <c r="T57" s="38">
        <f>VLOOKUP(Table1[[#This Row],[INSTANT]],[1]dataset_2!$A:$G,7,0)</f>
        <v>110</v>
      </c>
    </row>
    <row r="58" spans="1:20" ht="15.75" customHeight="1" x14ac:dyDescent="0.15">
      <c r="A58" s="35">
        <v>57</v>
      </c>
      <c r="B58" s="27">
        <v>40546</v>
      </c>
      <c r="C58" s="8" t="str">
        <f t="shared" si="0"/>
        <v>2011</v>
      </c>
      <c r="D58" s="8" t="str">
        <f t="shared" si="1"/>
        <v>03</v>
      </c>
      <c r="E58" s="7">
        <v>1</v>
      </c>
      <c r="F58" s="7">
        <v>0</v>
      </c>
      <c r="G58" s="7">
        <v>1</v>
      </c>
      <c r="H58" s="7">
        <v>11</v>
      </c>
      <c r="I58" s="7" t="b">
        <v>0</v>
      </c>
      <c r="J58" s="22">
        <f>--Table1[[#This Row],[HOLIDAY]]</f>
        <v>0</v>
      </c>
      <c r="K58" s="9">
        <v>1</v>
      </c>
      <c r="L58" s="7">
        <v>1</v>
      </c>
      <c r="M58" s="7">
        <f>LEN(TEXT(Table1[[#This Row],[WEATHER]],"0"))</f>
        <v>1</v>
      </c>
      <c r="N58" s="36">
        <v>0.2</v>
      </c>
      <c r="O58" s="37">
        <f>VLOOKUP(Table1[[#This Row],[INSTANT]],[1]dataset_2!$A:$G,2,FALSE)</f>
        <v>0.19700000000000001</v>
      </c>
      <c r="P58" s="37">
        <f>VLOOKUP(Table1[[#This Row],[INSTANT]],[1]dataset_2!$A:$G,3,0)</f>
        <v>0.64</v>
      </c>
      <c r="Q58" s="37">
        <f>VLOOKUP(Table1[[#This Row],[INSTANT]],[1]dataset_2!$A:$D,4,FALSE)</f>
        <v>0.1343</v>
      </c>
      <c r="R58" s="37">
        <f>VLOOKUP(Table1[[#This Row],[INSTANT]],[1]dataset_2!$A:$G,5,0)</f>
        <v>3</v>
      </c>
      <c r="S58" s="38">
        <f>VLOOKUP(Table1[[#This Row],[INSTANT]],[1]dataset_2!$A:$G,6,0)</f>
        <v>49</v>
      </c>
      <c r="T58" s="38">
        <f>VLOOKUP(Table1[[#This Row],[INSTANT]],[1]dataset_2!$A:$G,7,0)</f>
        <v>52</v>
      </c>
    </row>
    <row r="59" spans="1:20" ht="15.75" customHeight="1" x14ac:dyDescent="0.15">
      <c r="A59" s="35">
        <v>58</v>
      </c>
      <c r="B59" s="27">
        <v>40546</v>
      </c>
      <c r="C59" s="8" t="str">
        <f t="shared" si="0"/>
        <v>2011</v>
      </c>
      <c r="D59" s="8" t="str">
        <f t="shared" si="1"/>
        <v>03</v>
      </c>
      <c r="E59" s="7">
        <v>1</v>
      </c>
      <c r="F59" s="7">
        <v>0</v>
      </c>
      <c r="G59" s="7">
        <v>1</v>
      </c>
      <c r="H59" s="7">
        <v>12</v>
      </c>
      <c r="I59" s="7" t="b">
        <v>0</v>
      </c>
      <c r="J59" s="22">
        <f>--Table1[[#This Row],[HOLIDAY]]</f>
        <v>0</v>
      </c>
      <c r="K59" s="9">
        <v>1</v>
      </c>
      <c r="L59" s="7">
        <v>1</v>
      </c>
      <c r="M59" s="7">
        <f>LEN(TEXT(Table1[[#This Row],[WEATHER]],"0"))</f>
        <v>1</v>
      </c>
      <c r="N59" s="36">
        <v>0.22</v>
      </c>
      <c r="O59" s="37">
        <f>VLOOKUP(Table1[[#This Row],[INSTANT]],[1]dataset_2!$A:$G,2,FALSE)</f>
        <v>0.1515</v>
      </c>
      <c r="P59" s="37">
        <f>VLOOKUP(Table1[[#This Row],[INSTANT]],[1]dataset_2!$A:$G,3,0)</f>
        <v>0.69</v>
      </c>
      <c r="Q59" s="37">
        <f>VLOOKUP(Table1[[#This Row],[INSTANT]],[1]dataset_2!$A:$D,4,FALSE)</f>
        <v>0.1343</v>
      </c>
      <c r="R59" s="37">
        <f>VLOOKUP(Table1[[#This Row],[INSTANT]],[1]dataset_2!$A:$G,5,0)</f>
        <v>0</v>
      </c>
      <c r="S59" s="38">
        <f>VLOOKUP(Table1[[#This Row],[INSTANT]],[1]dataset_2!$A:$G,6,0)</f>
        <v>20</v>
      </c>
      <c r="T59" s="38">
        <f>VLOOKUP(Table1[[#This Row],[INSTANT]],[1]dataset_2!$A:$G,7,0)</f>
        <v>20</v>
      </c>
    </row>
    <row r="60" spans="1:20" ht="15.75" customHeight="1" x14ac:dyDescent="0.15">
      <c r="A60" s="35">
        <v>59</v>
      </c>
      <c r="B60" s="27">
        <v>40546</v>
      </c>
      <c r="C60" s="8" t="str">
        <f t="shared" si="0"/>
        <v>2011</v>
      </c>
      <c r="D60" s="8" t="str">
        <f t="shared" si="1"/>
        <v>03</v>
      </c>
      <c r="E60" s="7">
        <v>1</v>
      </c>
      <c r="F60" s="7">
        <v>0</v>
      </c>
      <c r="G60" s="7">
        <v>1</v>
      </c>
      <c r="H60" s="7">
        <v>13</v>
      </c>
      <c r="I60" s="7" t="b">
        <v>0</v>
      </c>
      <c r="J60" s="22">
        <f>--Table1[[#This Row],[HOLIDAY]]</f>
        <v>0</v>
      </c>
      <c r="K60" s="9">
        <v>1</v>
      </c>
      <c r="L60" s="7">
        <v>1</v>
      </c>
      <c r="M60" s="7">
        <f>LEN(TEXT(Table1[[#This Row],[WEATHER]],"0"))</f>
        <v>1</v>
      </c>
      <c r="N60" s="36">
        <v>0.24</v>
      </c>
      <c r="O60" s="37">
        <f>VLOOKUP(Table1[[#This Row],[INSTANT]],[1]dataset_2!$A:$G,2,FALSE)</f>
        <v>0.21210000000000001</v>
      </c>
      <c r="P60" s="37">
        <f>VLOOKUP(Table1[[#This Row],[INSTANT]],[1]dataset_2!$A:$G,3,0)</f>
        <v>0.55000000000000004</v>
      </c>
      <c r="Q60" s="37">
        <f>VLOOKUP(Table1[[#This Row],[INSTANT]],[1]dataset_2!$A:$D,4,FALSE)</f>
        <v>0.1045</v>
      </c>
      <c r="R60" s="37">
        <f>VLOOKUP(Table1[[#This Row],[INSTANT]],[1]dataset_2!$A:$G,5,0)</f>
        <v>1</v>
      </c>
      <c r="S60" s="38">
        <f>VLOOKUP(Table1[[#This Row],[INSTANT]],[1]dataset_2!$A:$G,6,0)</f>
        <v>11</v>
      </c>
      <c r="T60" s="38">
        <f>VLOOKUP(Table1[[#This Row],[INSTANT]],[1]dataset_2!$A:$G,7,0)</f>
        <v>12</v>
      </c>
    </row>
    <row r="61" spans="1:20" ht="15.75" customHeight="1" x14ac:dyDescent="0.15">
      <c r="A61" s="35">
        <v>60</v>
      </c>
      <c r="B61" s="27">
        <v>40546</v>
      </c>
      <c r="C61" s="8" t="str">
        <f t="shared" si="0"/>
        <v>2011</v>
      </c>
      <c r="D61" s="8" t="str">
        <f t="shared" si="1"/>
        <v>03</v>
      </c>
      <c r="E61" s="7">
        <v>1</v>
      </c>
      <c r="F61" s="7">
        <v>0</v>
      </c>
      <c r="G61" s="7">
        <v>1</v>
      </c>
      <c r="H61" s="7">
        <v>14</v>
      </c>
      <c r="I61" s="7" t="b">
        <v>0</v>
      </c>
      <c r="J61" s="22">
        <f>--Table1[[#This Row],[HOLIDAY]]</f>
        <v>0</v>
      </c>
      <c r="K61" s="9">
        <v>1</v>
      </c>
      <c r="L61" s="7">
        <v>1</v>
      </c>
      <c r="M61" s="7">
        <f>LEN(TEXT(Table1[[#This Row],[WEATHER]],"0"))</f>
        <v>1</v>
      </c>
      <c r="N61" s="36">
        <v>0.26</v>
      </c>
      <c r="O61" s="37">
        <f>VLOOKUP(Table1[[#This Row],[INSTANT]],[1]dataset_2!$A:$G,2,FALSE)</f>
        <v>0.18179999999999999</v>
      </c>
      <c r="P61" s="37">
        <f>VLOOKUP(Table1[[#This Row],[INSTANT]],[1]dataset_2!$A:$G,3,0)</f>
        <v>0.59</v>
      </c>
      <c r="Q61" s="37">
        <f>VLOOKUP(Table1[[#This Row],[INSTANT]],[1]dataset_2!$A:$D,4,FALSE)</f>
        <v>0.1045</v>
      </c>
      <c r="R61" s="37">
        <f>VLOOKUP(Table1[[#This Row],[INSTANT]],[1]dataset_2!$A:$G,5,0)</f>
        <v>0</v>
      </c>
      <c r="S61" s="38">
        <f>VLOOKUP(Table1[[#This Row],[INSTANT]],[1]dataset_2!$A:$G,6,0)</f>
        <v>2</v>
      </c>
      <c r="T61" s="38">
        <f>VLOOKUP(Table1[[#This Row],[INSTANT]],[1]dataset_2!$A:$G,7,0)</f>
        <v>2</v>
      </c>
    </row>
    <row r="62" spans="1:20" ht="15.75" customHeight="1" x14ac:dyDescent="0.15">
      <c r="A62" s="35">
        <v>61</v>
      </c>
      <c r="B62" s="27">
        <v>40546</v>
      </c>
      <c r="C62" s="8" t="str">
        <f t="shared" si="0"/>
        <v>2011</v>
      </c>
      <c r="D62" s="8" t="str">
        <f t="shared" si="1"/>
        <v>03</v>
      </c>
      <c r="E62" s="7">
        <v>1</v>
      </c>
      <c r="F62" s="7">
        <v>0</v>
      </c>
      <c r="G62" s="7">
        <v>1</v>
      </c>
      <c r="H62" s="7">
        <v>15</v>
      </c>
      <c r="I62" s="7" t="b">
        <v>0</v>
      </c>
      <c r="J62" s="22">
        <f>--Table1[[#This Row],[HOLIDAY]]</f>
        <v>0</v>
      </c>
      <c r="K62" s="9">
        <v>1</v>
      </c>
      <c r="L62" s="7">
        <v>1</v>
      </c>
      <c r="M62" s="7">
        <f>LEN(TEXT(Table1[[#This Row],[WEATHER]],"0"))</f>
        <v>1</v>
      </c>
      <c r="N62" s="36">
        <v>0.26</v>
      </c>
      <c r="O62" s="37">
        <f>VLOOKUP(Table1[[#This Row],[INSTANT]],[1]dataset_2!$A:$G,2,FALSE)</f>
        <v>0.1515</v>
      </c>
      <c r="P62" s="37">
        <f>VLOOKUP(Table1[[#This Row],[INSTANT]],[1]dataset_2!$A:$G,3,0)</f>
        <v>0.63</v>
      </c>
      <c r="Q62" s="37">
        <f>VLOOKUP(Table1[[#This Row],[INSTANT]],[1]dataset_2!$A:$D,4,FALSE)</f>
        <v>0.1343</v>
      </c>
      <c r="R62" s="37">
        <f>VLOOKUP(Table1[[#This Row],[INSTANT]],[1]dataset_2!$A:$G,5,0)</f>
        <v>0</v>
      </c>
      <c r="S62" s="38">
        <f>VLOOKUP(Table1[[#This Row],[INSTANT]],[1]dataset_2!$A:$G,6,0)</f>
        <v>1</v>
      </c>
      <c r="T62" s="38">
        <f>VLOOKUP(Table1[[#This Row],[INSTANT]],[1]dataset_2!$A:$G,7,0)</f>
        <v>1</v>
      </c>
    </row>
    <row r="63" spans="1:20" ht="13" x14ac:dyDescent="0.15">
      <c r="A63" s="35">
        <v>62</v>
      </c>
      <c r="B63" s="27">
        <v>40546</v>
      </c>
      <c r="C63" s="8" t="str">
        <f t="shared" si="0"/>
        <v>2011</v>
      </c>
      <c r="D63" s="8" t="str">
        <f t="shared" si="1"/>
        <v>03</v>
      </c>
      <c r="E63" s="7">
        <v>1</v>
      </c>
      <c r="F63" s="7">
        <v>0</v>
      </c>
      <c r="G63" s="7">
        <v>1</v>
      </c>
      <c r="H63" s="7">
        <v>16</v>
      </c>
      <c r="I63" s="7" t="b">
        <v>0</v>
      </c>
      <c r="J63" s="22">
        <f>--Table1[[#This Row],[HOLIDAY]]</f>
        <v>0</v>
      </c>
      <c r="K63" s="9">
        <v>1</v>
      </c>
      <c r="L63" s="7">
        <v>1</v>
      </c>
      <c r="M63" s="7">
        <f>LEN(TEXT(Table1[[#This Row],[WEATHER]],"0"))</f>
        <v>1</v>
      </c>
      <c r="N63" s="36">
        <v>0.26</v>
      </c>
      <c r="O63" s="37">
        <f>VLOOKUP(Table1[[#This Row],[INSTANT]],[1]dataset_2!$A:$G,2,FALSE)</f>
        <v>0.18179999999999999</v>
      </c>
      <c r="P63" s="37">
        <f>VLOOKUP(Table1[[#This Row],[INSTANT]],[1]dataset_2!$A:$G,3,0)</f>
        <v>0.63</v>
      </c>
      <c r="Q63" s="37">
        <f>VLOOKUP(Table1[[#This Row],[INSTANT]],[1]dataset_2!$A:$D,4,FALSE)</f>
        <v>8.9599999999999999E-2</v>
      </c>
      <c r="R63" s="37">
        <f>VLOOKUP(Table1[[#This Row],[INSTANT]],[1]dataset_2!$A:$G,5,0)</f>
        <v>0</v>
      </c>
      <c r="S63" s="38">
        <f>VLOOKUP(Table1[[#This Row],[INSTANT]],[1]dataset_2!$A:$G,6,0)</f>
        <v>2</v>
      </c>
      <c r="T63" s="38">
        <f>VLOOKUP(Table1[[#This Row],[INSTANT]],[1]dataset_2!$A:$G,7,0)</f>
        <v>2</v>
      </c>
    </row>
    <row r="64" spans="1:20" ht="13" x14ac:dyDescent="0.15">
      <c r="A64" s="35">
        <v>63</v>
      </c>
      <c r="B64" s="27">
        <v>40546</v>
      </c>
      <c r="C64" s="8" t="str">
        <f t="shared" si="0"/>
        <v>2011</v>
      </c>
      <c r="D64" s="8" t="str">
        <f t="shared" si="1"/>
        <v>03</v>
      </c>
      <c r="E64" s="7">
        <v>1</v>
      </c>
      <c r="F64" s="7">
        <v>0</v>
      </c>
      <c r="G64" s="7">
        <v>1</v>
      </c>
      <c r="H64" s="7">
        <v>17</v>
      </c>
      <c r="I64" s="7" t="b">
        <v>0</v>
      </c>
      <c r="J64" s="22">
        <f>--Table1[[#This Row],[HOLIDAY]]</f>
        <v>0</v>
      </c>
      <c r="K64" s="9">
        <v>1</v>
      </c>
      <c r="L64" s="7">
        <v>1</v>
      </c>
      <c r="M64" s="7">
        <f>LEN(TEXT(Table1[[#This Row],[WEATHER]],"0"))</f>
        <v>1</v>
      </c>
      <c r="N64" s="36">
        <v>0.24</v>
      </c>
      <c r="O64" s="37">
        <f>VLOOKUP(Table1[[#This Row],[INSTANT]],[1]dataset_2!$A:$G,2,FALSE)</f>
        <v>0.1515</v>
      </c>
      <c r="P64" s="37">
        <f>VLOOKUP(Table1[[#This Row],[INSTANT]],[1]dataset_2!$A:$G,3,0)</f>
        <v>0.68</v>
      </c>
      <c r="Q64" s="37">
        <f>VLOOKUP(Table1[[#This Row],[INSTANT]],[1]dataset_2!$A:$D,4,FALSE)</f>
        <v>0.1045</v>
      </c>
      <c r="R64" s="37">
        <f>VLOOKUP(Table1[[#This Row],[INSTANT]],[1]dataset_2!$A:$G,5,0)</f>
        <v>0</v>
      </c>
      <c r="S64" s="38">
        <f>VLOOKUP(Table1[[#This Row],[INSTANT]],[1]dataset_2!$A:$G,6,0)</f>
        <v>4</v>
      </c>
      <c r="T64" s="38">
        <f>VLOOKUP(Table1[[#This Row],[INSTANT]],[1]dataset_2!$A:$G,7,0)</f>
        <v>4</v>
      </c>
    </row>
    <row r="65" spans="1:20" ht="13" x14ac:dyDescent="0.15">
      <c r="A65" s="35">
        <v>64</v>
      </c>
      <c r="B65" s="27">
        <v>40546</v>
      </c>
      <c r="C65" s="8" t="str">
        <f t="shared" si="0"/>
        <v>2011</v>
      </c>
      <c r="D65" s="8" t="str">
        <f t="shared" si="1"/>
        <v>03</v>
      </c>
      <c r="E65" s="7">
        <v>1</v>
      </c>
      <c r="F65" s="7">
        <v>0</v>
      </c>
      <c r="G65" s="7">
        <v>1</v>
      </c>
      <c r="H65" s="7">
        <v>18</v>
      </c>
      <c r="I65" s="7" t="b">
        <v>0</v>
      </c>
      <c r="J65" s="22">
        <f>--Table1[[#This Row],[HOLIDAY]]</f>
        <v>0</v>
      </c>
      <c r="K65" s="9">
        <v>1</v>
      </c>
      <c r="L65" s="7">
        <v>1</v>
      </c>
      <c r="M65" s="7">
        <f>LEN(TEXT(Table1[[#This Row],[WEATHER]],"0"))</f>
        <v>1</v>
      </c>
      <c r="N65" s="36">
        <v>0.24</v>
      </c>
      <c r="O65" s="37">
        <f>VLOOKUP(Table1[[#This Row],[INSTANT]],[1]dataset_2!$A:$G,2,FALSE)</f>
        <v>0.1515</v>
      </c>
      <c r="P65" s="37">
        <f>VLOOKUP(Table1[[#This Row],[INSTANT]],[1]dataset_2!$A:$G,3,0)</f>
        <v>0.74</v>
      </c>
      <c r="Q65" s="37">
        <f>VLOOKUP(Table1[[#This Row],[INSTANT]],[1]dataset_2!$A:$D,4,FALSE)</f>
        <v>0.1045</v>
      </c>
      <c r="R65" s="37">
        <f>VLOOKUP(Table1[[#This Row],[INSTANT]],[1]dataset_2!$A:$G,5,0)</f>
        <v>0</v>
      </c>
      <c r="S65" s="38">
        <f>VLOOKUP(Table1[[#This Row],[INSTANT]],[1]dataset_2!$A:$G,6,0)</f>
        <v>36</v>
      </c>
      <c r="T65" s="38">
        <f>VLOOKUP(Table1[[#This Row],[INSTANT]],[1]dataset_2!$A:$G,7,0)</f>
        <v>36</v>
      </c>
    </row>
    <row r="66" spans="1:20" ht="13" x14ac:dyDescent="0.15">
      <c r="A66" s="35">
        <v>65</v>
      </c>
      <c r="B66" s="27">
        <v>40546</v>
      </c>
      <c r="C66" s="8" t="str">
        <f t="shared" ref="C66:C129" si="2">RIGHT(TEXT(B67,"DD-MM-YYYY"),4)</f>
        <v>2011</v>
      </c>
      <c r="D66" s="8" t="str">
        <f t="shared" ref="D66:D129" si="3">LEFT(TEXT(B66,"DD-MM-YYYY"),2)</f>
        <v>03</v>
      </c>
      <c r="E66" s="7">
        <v>1</v>
      </c>
      <c r="F66" s="7">
        <v>0</v>
      </c>
      <c r="G66" s="7">
        <v>1</v>
      </c>
      <c r="H66" s="7">
        <v>19</v>
      </c>
      <c r="I66" s="7" t="b">
        <v>0</v>
      </c>
      <c r="J66" s="22">
        <f>--Table1[[#This Row],[HOLIDAY]]</f>
        <v>0</v>
      </c>
      <c r="K66" s="9">
        <v>1</v>
      </c>
      <c r="L66" s="7">
        <v>1</v>
      </c>
      <c r="M66" s="7">
        <f>LEN(TEXT(Table1[[#This Row],[WEATHER]],"0"))</f>
        <v>1</v>
      </c>
      <c r="N66" s="36">
        <v>0.2</v>
      </c>
      <c r="O66" s="37">
        <f>VLOOKUP(Table1[[#This Row],[INSTANT]],[1]dataset_2!$A:$G,2,FALSE)</f>
        <v>0.1515</v>
      </c>
      <c r="P66" s="37">
        <f>VLOOKUP(Table1[[#This Row],[INSTANT]],[1]dataset_2!$A:$G,3,0)</f>
        <v>0.74</v>
      </c>
      <c r="Q66" s="37">
        <f>VLOOKUP(Table1[[#This Row],[INSTANT]],[1]dataset_2!$A:$D,4,FALSE)</f>
        <v>0.1343</v>
      </c>
      <c r="R66" s="37">
        <f>VLOOKUP(Table1[[#This Row],[INSTANT]],[1]dataset_2!$A:$G,5,0)</f>
        <v>2</v>
      </c>
      <c r="S66" s="38">
        <f>VLOOKUP(Table1[[#This Row],[INSTANT]],[1]dataset_2!$A:$G,6,0)</f>
        <v>92</v>
      </c>
      <c r="T66" s="38">
        <f>VLOOKUP(Table1[[#This Row],[INSTANT]],[1]dataset_2!$A:$G,7,0)</f>
        <v>94</v>
      </c>
    </row>
    <row r="67" spans="1:20" ht="13" x14ac:dyDescent="0.15">
      <c r="A67" s="35">
        <v>66</v>
      </c>
      <c r="B67" s="27">
        <v>40546</v>
      </c>
      <c r="C67" s="8" t="str">
        <f t="shared" si="2"/>
        <v>2011</v>
      </c>
      <c r="D67" s="8" t="str">
        <f t="shared" si="3"/>
        <v>03</v>
      </c>
      <c r="E67" s="7">
        <v>1</v>
      </c>
      <c r="F67" s="7">
        <v>0</v>
      </c>
      <c r="G67" s="7">
        <v>1</v>
      </c>
      <c r="H67" s="7">
        <v>20</v>
      </c>
      <c r="I67" s="7" t="b">
        <v>0</v>
      </c>
      <c r="J67" s="22">
        <f>--Table1[[#This Row],[HOLIDAY]]</f>
        <v>0</v>
      </c>
      <c r="K67" s="9">
        <v>1</v>
      </c>
      <c r="L67" s="7">
        <v>1</v>
      </c>
      <c r="M67" s="7">
        <f>LEN(TEXT(Table1[[#This Row],[WEATHER]],"0"))</f>
        <v>1</v>
      </c>
      <c r="N67" s="36">
        <v>0.2</v>
      </c>
      <c r="O67" s="37">
        <f>VLOOKUP(Table1[[#This Row],[INSTANT]],[1]dataset_2!$A:$G,2,FALSE)</f>
        <v>0.1515</v>
      </c>
      <c r="P67" s="37">
        <f>VLOOKUP(Table1[[#This Row],[INSTANT]],[1]dataset_2!$A:$G,3,0)</f>
        <v>0.69</v>
      </c>
      <c r="Q67" s="37">
        <f>VLOOKUP(Table1[[#This Row],[INSTANT]],[1]dataset_2!$A:$D,4,FALSE)</f>
        <v>0.16420000000000001</v>
      </c>
      <c r="R67" s="37">
        <f>VLOOKUP(Table1[[#This Row],[INSTANT]],[1]dataset_2!$A:$G,5,0)</f>
        <v>2</v>
      </c>
      <c r="S67" s="38">
        <f>VLOOKUP(Table1[[#This Row],[INSTANT]],[1]dataset_2!$A:$G,6,0)</f>
        <v>177</v>
      </c>
      <c r="T67" s="38">
        <f>VLOOKUP(Table1[[#This Row],[INSTANT]],[1]dataset_2!$A:$G,7,0)</f>
        <v>179</v>
      </c>
    </row>
    <row r="68" spans="1:20" ht="13" x14ac:dyDescent="0.15">
      <c r="A68" s="35">
        <v>67</v>
      </c>
      <c r="B68" s="27">
        <v>40546</v>
      </c>
      <c r="C68" s="8" t="str">
        <f t="shared" si="2"/>
        <v>2011</v>
      </c>
      <c r="D68" s="8" t="str">
        <f t="shared" si="3"/>
        <v>03</v>
      </c>
      <c r="E68" s="7">
        <v>1</v>
      </c>
      <c r="F68" s="7">
        <v>0</v>
      </c>
      <c r="G68" s="7">
        <v>1</v>
      </c>
      <c r="H68" s="7">
        <v>21</v>
      </c>
      <c r="I68" s="7" t="b">
        <v>0</v>
      </c>
      <c r="J68" s="22">
        <f>--Table1[[#This Row],[HOLIDAY]]</f>
        <v>0</v>
      </c>
      <c r="K68" s="9">
        <v>1</v>
      </c>
      <c r="L68" s="7">
        <v>1</v>
      </c>
      <c r="M68" s="7">
        <f>LEN(TEXT(Table1[[#This Row],[WEATHER]],"0"))</f>
        <v>1</v>
      </c>
      <c r="N68" s="36">
        <v>0.18</v>
      </c>
      <c r="O68" s="37">
        <f>VLOOKUP(Table1[[#This Row],[INSTANT]],[1]dataset_2!$A:$G,2,FALSE)</f>
        <v>0.1515</v>
      </c>
      <c r="P68" s="37">
        <f>VLOOKUP(Table1[[#This Row],[INSTANT]],[1]dataset_2!$A:$G,3,0)</f>
        <v>0.64</v>
      </c>
      <c r="Q68" s="37">
        <f>VLOOKUP(Table1[[#This Row],[INSTANT]],[1]dataset_2!$A:$D,4,FALSE)</f>
        <v>0.22389999999999999</v>
      </c>
      <c r="R68" s="37">
        <f>VLOOKUP(Table1[[#This Row],[INSTANT]],[1]dataset_2!$A:$G,5,0)</f>
        <v>2</v>
      </c>
      <c r="S68" s="38">
        <f>VLOOKUP(Table1[[#This Row],[INSTANT]],[1]dataset_2!$A:$G,6,0)</f>
        <v>98</v>
      </c>
      <c r="T68" s="38">
        <f>VLOOKUP(Table1[[#This Row],[INSTANT]],[1]dataset_2!$A:$G,7,0)</f>
        <v>100</v>
      </c>
    </row>
    <row r="69" spans="1:20" ht="13" x14ac:dyDescent="0.15">
      <c r="A69" s="35">
        <v>68</v>
      </c>
      <c r="B69" s="27">
        <v>40546</v>
      </c>
      <c r="C69" s="8" t="str">
        <f t="shared" si="2"/>
        <v>2011</v>
      </c>
      <c r="D69" s="8" t="str">
        <f t="shared" si="3"/>
        <v>03</v>
      </c>
      <c r="E69" s="7">
        <v>1</v>
      </c>
      <c r="F69" s="7">
        <v>0</v>
      </c>
      <c r="G69" s="7">
        <v>1</v>
      </c>
      <c r="H69" s="7">
        <v>22</v>
      </c>
      <c r="I69" s="7" t="b">
        <v>0</v>
      </c>
      <c r="J69" s="22">
        <f>--Table1[[#This Row],[HOLIDAY]]</f>
        <v>0</v>
      </c>
      <c r="K69" s="9">
        <v>1</v>
      </c>
      <c r="L69" s="7">
        <v>1</v>
      </c>
      <c r="M69" s="7">
        <f>LEN(TEXT(Table1[[#This Row],[WEATHER]],"0"))</f>
        <v>1</v>
      </c>
      <c r="N69" s="36">
        <v>0.14000000000000001</v>
      </c>
      <c r="O69" s="37">
        <f>VLOOKUP(Table1[[#This Row],[INSTANT]],[1]dataset_2!$A:$G,2,FALSE)</f>
        <v>0.13639999999999999</v>
      </c>
      <c r="P69" s="37">
        <f>VLOOKUP(Table1[[#This Row],[INSTANT]],[1]dataset_2!$A:$G,3,0)</f>
        <v>0.69</v>
      </c>
      <c r="Q69" s="37">
        <f>VLOOKUP(Table1[[#This Row],[INSTANT]],[1]dataset_2!$A:$D,4,FALSE)</f>
        <v>0.32840000000000003</v>
      </c>
      <c r="R69" s="37">
        <f>VLOOKUP(Table1[[#This Row],[INSTANT]],[1]dataset_2!$A:$G,5,0)</f>
        <v>5</v>
      </c>
      <c r="S69" s="38">
        <f>VLOOKUP(Table1[[#This Row],[INSTANT]],[1]dataset_2!$A:$G,6,0)</f>
        <v>37</v>
      </c>
      <c r="T69" s="38">
        <f>VLOOKUP(Table1[[#This Row],[INSTANT]],[1]dataset_2!$A:$G,7,0)</f>
        <v>42</v>
      </c>
    </row>
    <row r="70" spans="1:20" ht="13" x14ac:dyDescent="0.15">
      <c r="A70" s="35">
        <v>69</v>
      </c>
      <c r="B70" s="27">
        <v>40546</v>
      </c>
      <c r="C70" s="8" t="str">
        <f t="shared" si="2"/>
        <v>2011</v>
      </c>
      <c r="D70" s="8" t="str">
        <f t="shared" si="3"/>
        <v>03</v>
      </c>
      <c r="E70" s="7">
        <v>1</v>
      </c>
      <c r="F70" s="7">
        <v>0</v>
      </c>
      <c r="G70" s="7">
        <v>1</v>
      </c>
      <c r="H70" s="7">
        <v>23</v>
      </c>
      <c r="I70" s="7" t="b">
        <v>0</v>
      </c>
      <c r="J70" s="22">
        <f>--Table1[[#This Row],[HOLIDAY]]</f>
        <v>0</v>
      </c>
      <c r="K70" s="9">
        <v>1</v>
      </c>
      <c r="L70" s="7">
        <v>1</v>
      </c>
      <c r="M70" s="7">
        <f>LEN(TEXT(Table1[[#This Row],[WEATHER]],"0"))</f>
        <v>1</v>
      </c>
      <c r="N70" s="36">
        <v>0.18</v>
      </c>
      <c r="O70" s="37">
        <f>VLOOKUP(Table1[[#This Row],[INSTANT]],[1]dataset_2!$A:$G,2,FALSE)</f>
        <v>0.21210000000000001</v>
      </c>
      <c r="P70" s="37">
        <f>VLOOKUP(Table1[[#This Row],[INSTANT]],[1]dataset_2!$A:$G,3,0)</f>
        <v>0.51</v>
      </c>
      <c r="Q70" s="37">
        <f>VLOOKUP(Table1[[#This Row],[INSTANT]],[1]dataset_2!$A:$D,4,FALSE)</f>
        <v>0.29849999999999999</v>
      </c>
      <c r="R70" s="37">
        <f>VLOOKUP(Table1[[#This Row],[INSTANT]],[1]dataset_2!$A:$G,5,0)</f>
        <v>7</v>
      </c>
      <c r="S70" s="38">
        <f>VLOOKUP(Table1[[#This Row],[INSTANT]],[1]dataset_2!$A:$G,6,0)</f>
        <v>50</v>
      </c>
      <c r="T70" s="38">
        <f>VLOOKUP(Table1[[#This Row],[INSTANT]],[1]dataset_2!$A:$G,7,0)</f>
        <v>57</v>
      </c>
    </row>
    <row r="71" spans="1:20" ht="13" x14ac:dyDescent="0.15">
      <c r="A71" s="35">
        <v>70</v>
      </c>
      <c r="B71" s="27">
        <v>40547</v>
      </c>
      <c r="C71" s="8" t="str">
        <f t="shared" si="2"/>
        <v>2011</v>
      </c>
      <c r="D71" s="8" t="str">
        <f t="shared" si="3"/>
        <v>04</v>
      </c>
      <c r="E71" s="7">
        <v>1</v>
      </c>
      <c r="F71" s="7">
        <v>0</v>
      </c>
      <c r="G71" s="7">
        <v>1</v>
      </c>
      <c r="H71" s="7">
        <v>0</v>
      </c>
      <c r="I71" s="7" t="b">
        <v>0</v>
      </c>
      <c r="J71" s="22">
        <f>--Table1[[#This Row],[HOLIDAY]]</f>
        <v>0</v>
      </c>
      <c r="K71" s="9">
        <v>2</v>
      </c>
      <c r="L71" s="7">
        <v>1</v>
      </c>
      <c r="M71" s="7">
        <f>LEN(TEXT(Table1[[#This Row],[WEATHER]],"0"))</f>
        <v>1</v>
      </c>
      <c r="N71" s="36">
        <v>0.16</v>
      </c>
      <c r="O71" s="37">
        <f>VLOOKUP(Table1[[#This Row],[INSTANT]],[1]dataset_2!$A:$G,2,FALSE)</f>
        <v>0.2273</v>
      </c>
      <c r="P71" s="37">
        <f>VLOOKUP(Table1[[#This Row],[INSTANT]],[1]dataset_2!$A:$G,3,0)</f>
        <v>0.51</v>
      </c>
      <c r="Q71" s="37">
        <f>VLOOKUP(Table1[[#This Row],[INSTANT]],[1]dataset_2!$A:$D,4,FALSE)</f>
        <v>0.16420000000000001</v>
      </c>
      <c r="R71" s="37">
        <f>VLOOKUP(Table1[[#This Row],[INSTANT]],[1]dataset_2!$A:$G,5,0)</f>
        <v>12</v>
      </c>
      <c r="S71" s="38">
        <f>VLOOKUP(Table1[[#This Row],[INSTANT]],[1]dataset_2!$A:$G,6,0)</f>
        <v>66</v>
      </c>
      <c r="T71" s="38">
        <f>VLOOKUP(Table1[[#This Row],[INSTANT]],[1]dataset_2!$A:$G,7,0)</f>
        <v>78</v>
      </c>
    </row>
    <row r="72" spans="1:20" ht="13" x14ac:dyDescent="0.15">
      <c r="A72" s="35">
        <v>71</v>
      </c>
      <c r="B72" s="27">
        <v>40547</v>
      </c>
      <c r="C72" s="8" t="str">
        <f t="shared" si="2"/>
        <v>2011</v>
      </c>
      <c r="D72" s="8" t="str">
        <f t="shared" si="3"/>
        <v>04</v>
      </c>
      <c r="E72" s="7">
        <v>1</v>
      </c>
      <c r="F72" s="7">
        <v>0</v>
      </c>
      <c r="G72" s="7">
        <v>1</v>
      </c>
      <c r="H72" s="7">
        <v>1</v>
      </c>
      <c r="I72" s="7" t="b">
        <v>0</v>
      </c>
      <c r="J72" s="22">
        <f>--Table1[[#This Row],[HOLIDAY]]</f>
        <v>0</v>
      </c>
      <c r="K72" s="9">
        <v>2</v>
      </c>
      <c r="L72" s="7">
        <v>1</v>
      </c>
      <c r="M72" s="7">
        <f>LEN(TEXT(Table1[[#This Row],[WEATHER]],"0"))</f>
        <v>1</v>
      </c>
      <c r="N72" s="36">
        <v>0.16</v>
      </c>
      <c r="O72" s="37">
        <f>VLOOKUP(Table1[[#This Row],[INSTANT]],[1]dataset_2!$A:$G,2,FALSE)</f>
        <v>0.2273</v>
      </c>
      <c r="P72" s="37">
        <f>VLOOKUP(Table1[[#This Row],[INSTANT]],[1]dataset_2!$A:$G,3,0)</f>
        <v>0.56000000000000005</v>
      </c>
      <c r="Q72" s="37">
        <f>VLOOKUP(Table1[[#This Row],[INSTANT]],[1]dataset_2!$A:$D,4,FALSE)</f>
        <v>0.19400000000000001</v>
      </c>
      <c r="R72" s="37">
        <f>VLOOKUP(Table1[[#This Row],[INSTANT]],[1]dataset_2!$A:$G,5,0)</f>
        <v>18</v>
      </c>
      <c r="S72" s="38">
        <f>VLOOKUP(Table1[[#This Row],[INSTANT]],[1]dataset_2!$A:$G,6,0)</f>
        <v>79</v>
      </c>
      <c r="T72" s="38">
        <f>VLOOKUP(Table1[[#This Row],[INSTANT]],[1]dataset_2!$A:$G,7,0)</f>
        <v>97</v>
      </c>
    </row>
    <row r="73" spans="1:20" ht="13" x14ac:dyDescent="0.15">
      <c r="A73" s="35">
        <v>72</v>
      </c>
      <c r="B73" s="27">
        <v>40547</v>
      </c>
      <c r="C73" s="8" t="str">
        <f t="shared" si="2"/>
        <v>2011</v>
      </c>
      <c r="D73" s="8" t="str">
        <f t="shared" si="3"/>
        <v>04</v>
      </c>
      <c r="E73" s="7">
        <v>1</v>
      </c>
      <c r="F73" s="7">
        <v>0</v>
      </c>
      <c r="G73" s="7">
        <v>1</v>
      </c>
      <c r="H73" s="7">
        <v>2</v>
      </c>
      <c r="I73" s="7" t="b">
        <v>0</v>
      </c>
      <c r="J73" s="22">
        <f>--Table1[[#This Row],[HOLIDAY]]</f>
        <v>0</v>
      </c>
      <c r="K73" s="9">
        <v>2</v>
      </c>
      <c r="L73" s="7">
        <v>1</v>
      </c>
      <c r="M73" s="7">
        <f>LEN(TEXT(Table1[[#This Row],[WEATHER]],"0"))</f>
        <v>1</v>
      </c>
      <c r="N73" s="36">
        <v>0.14000000000000001</v>
      </c>
      <c r="O73" s="37">
        <f>VLOOKUP(Table1[[#This Row],[INSTANT]],[1]dataset_2!$A:$G,2,FALSE)</f>
        <v>0.2576</v>
      </c>
      <c r="P73" s="37">
        <f>VLOOKUP(Table1[[#This Row],[INSTANT]],[1]dataset_2!$A:$G,3,0)</f>
        <v>0.52</v>
      </c>
      <c r="Q73" s="37">
        <f>VLOOKUP(Table1[[#This Row],[INSTANT]],[1]dataset_2!$A:$D,4,FALSE)</f>
        <v>0.22389999999999999</v>
      </c>
      <c r="R73" s="37">
        <f>VLOOKUP(Table1[[#This Row],[INSTANT]],[1]dataset_2!$A:$G,5,0)</f>
        <v>9</v>
      </c>
      <c r="S73" s="38">
        <f>VLOOKUP(Table1[[#This Row],[INSTANT]],[1]dataset_2!$A:$G,6,0)</f>
        <v>54</v>
      </c>
      <c r="T73" s="38">
        <f>VLOOKUP(Table1[[#This Row],[INSTANT]],[1]dataset_2!$A:$G,7,0)</f>
        <v>63</v>
      </c>
    </row>
    <row r="74" spans="1:20" ht="13" x14ac:dyDescent="0.15">
      <c r="A74" s="35">
        <v>73</v>
      </c>
      <c r="B74" s="27">
        <v>40547</v>
      </c>
      <c r="C74" s="8" t="str">
        <f t="shared" si="2"/>
        <v>2011</v>
      </c>
      <c r="D74" s="8" t="str">
        <f t="shared" si="3"/>
        <v>04</v>
      </c>
      <c r="E74" s="7">
        <v>1</v>
      </c>
      <c r="F74" s="7">
        <v>0</v>
      </c>
      <c r="G74" s="7">
        <v>1</v>
      </c>
      <c r="H74" s="7">
        <v>4</v>
      </c>
      <c r="I74" s="7" t="b">
        <v>0</v>
      </c>
      <c r="J74" s="22">
        <f>--Table1[[#This Row],[HOLIDAY]]</f>
        <v>0</v>
      </c>
      <c r="K74" s="9">
        <v>2</v>
      </c>
      <c r="L74" s="7">
        <v>1</v>
      </c>
      <c r="M74" s="7">
        <f>LEN(TEXT(Table1[[#This Row],[WEATHER]],"0"))</f>
        <v>1</v>
      </c>
      <c r="N74" s="36">
        <v>0.14000000000000001</v>
      </c>
      <c r="O74" s="37">
        <f>VLOOKUP(Table1[[#This Row],[INSTANT]],[1]dataset_2!$A:$G,2,FALSE)</f>
        <v>0.2727</v>
      </c>
      <c r="P74" s="37">
        <f>VLOOKUP(Table1[[#This Row],[INSTANT]],[1]dataset_2!$A:$G,3,0)</f>
        <v>0.52</v>
      </c>
      <c r="Q74" s="37">
        <f>VLOOKUP(Table1[[#This Row],[INSTANT]],[1]dataset_2!$A:$D,4,FALSE)</f>
        <v>0.25369999999999998</v>
      </c>
      <c r="R74" s="37">
        <f>VLOOKUP(Table1[[#This Row],[INSTANT]],[1]dataset_2!$A:$G,5,0)</f>
        <v>17</v>
      </c>
      <c r="S74" s="38">
        <f>VLOOKUP(Table1[[#This Row],[INSTANT]],[1]dataset_2!$A:$G,6,0)</f>
        <v>48</v>
      </c>
      <c r="T74" s="38">
        <f>VLOOKUP(Table1[[#This Row],[INSTANT]],[1]dataset_2!$A:$G,7,0)</f>
        <v>65</v>
      </c>
    </row>
    <row r="75" spans="1:20" ht="13" x14ac:dyDescent="0.15">
      <c r="A75" s="35">
        <v>74</v>
      </c>
      <c r="B75" s="27">
        <v>40547</v>
      </c>
      <c r="C75" s="8" t="str">
        <f t="shared" si="2"/>
        <v>2011</v>
      </c>
      <c r="D75" s="8" t="str">
        <f t="shared" si="3"/>
        <v>04</v>
      </c>
      <c r="E75" s="7">
        <v>1</v>
      </c>
      <c r="F75" s="7">
        <v>0</v>
      </c>
      <c r="G75" s="7">
        <v>1</v>
      </c>
      <c r="H75" s="7">
        <v>5</v>
      </c>
      <c r="I75" s="7" t="b">
        <v>0</v>
      </c>
      <c r="J75" s="22">
        <f>--Table1[[#This Row],[HOLIDAY]]</f>
        <v>0</v>
      </c>
      <c r="K75" s="9">
        <v>2</v>
      </c>
      <c r="L75" s="7">
        <v>1</v>
      </c>
      <c r="M75" s="7">
        <f>LEN(TEXT(Table1[[#This Row],[WEATHER]],"0"))</f>
        <v>1</v>
      </c>
      <c r="N75" s="36">
        <v>0.12</v>
      </c>
      <c r="O75" s="37">
        <f>VLOOKUP(Table1[[#This Row],[INSTANT]],[1]dataset_2!$A:$G,2,FALSE)</f>
        <v>0.28789999999999999</v>
      </c>
      <c r="P75" s="37">
        <f>VLOOKUP(Table1[[#This Row],[INSTANT]],[1]dataset_2!$A:$G,3,0)</f>
        <v>0.49</v>
      </c>
      <c r="Q75" s="37">
        <f>VLOOKUP(Table1[[#This Row],[INSTANT]],[1]dataset_2!$A:$D,4,FALSE)</f>
        <v>0.25369999999999998</v>
      </c>
      <c r="R75" s="37">
        <f>VLOOKUP(Table1[[#This Row],[INSTANT]],[1]dataset_2!$A:$G,5,0)</f>
        <v>15</v>
      </c>
      <c r="S75" s="38">
        <f>VLOOKUP(Table1[[#This Row],[INSTANT]],[1]dataset_2!$A:$G,6,0)</f>
        <v>68</v>
      </c>
      <c r="T75" s="38">
        <f>VLOOKUP(Table1[[#This Row],[INSTANT]],[1]dataset_2!$A:$G,7,0)</f>
        <v>83</v>
      </c>
    </row>
    <row r="76" spans="1:20" ht="13" x14ac:dyDescent="0.15">
      <c r="A76" s="35">
        <v>75</v>
      </c>
      <c r="B76" s="27">
        <v>40547</v>
      </c>
      <c r="C76" s="8" t="str">
        <f t="shared" si="2"/>
        <v>2011</v>
      </c>
      <c r="D76" s="8" t="str">
        <f t="shared" si="3"/>
        <v>04</v>
      </c>
      <c r="E76" s="7">
        <v>1</v>
      </c>
      <c r="F76" s="7">
        <v>0</v>
      </c>
      <c r="G76" s="7">
        <v>1</v>
      </c>
      <c r="H76" s="7">
        <v>6</v>
      </c>
      <c r="I76" s="7" t="b">
        <v>0</v>
      </c>
      <c r="J76" s="22">
        <f>--Table1[[#This Row],[HOLIDAY]]</f>
        <v>0</v>
      </c>
      <c r="K76" s="9">
        <v>2</v>
      </c>
      <c r="L76" s="7">
        <v>1</v>
      </c>
      <c r="M76" s="7">
        <f>LEN(TEXT(Table1[[#This Row],[WEATHER]],"0"))</f>
        <v>1</v>
      </c>
      <c r="N76" s="36">
        <v>0.12</v>
      </c>
      <c r="O76" s="37">
        <f>VLOOKUP(Table1[[#This Row],[INSTANT]],[1]dataset_2!$A:$G,2,FALSE)</f>
        <v>0.2727</v>
      </c>
      <c r="P76" s="37">
        <f>VLOOKUP(Table1[[#This Row],[INSTANT]],[1]dataset_2!$A:$G,3,0)</f>
        <v>0.48</v>
      </c>
      <c r="Q76" s="37">
        <f>VLOOKUP(Table1[[#This Row],[INSTANT]],[1]dataset_2!$A:$D,4,FALSE)</f>
        <v>0.22389999999999999</v>
      </c>
      <c r="R76" s="37">
        <f>VLOOKUP(Table1[[#This Row],[INSTANT]],[1]dataset_2!$A:$G,5,0)</f>
        <v>10</v>
      </c>
      <c r="S76" s="38">
        <f>VLOOKUP(Table1[[#This Row],[INSTANT]],[1]dataset_2!$A:$G,6,0)</f>
        <v>202</v>
      </c>
      <c r="T76" s="38">
        <f>VLOOKUP(Table1[[#This Row],[INSTANT]],[1]dataset_2!$A:$G,7,0)</f>
        <v>212</v>
      </c>
    </row>
    <row r="77" spans="1:20" ht="13" x14ac:dyDescent="0.15">
      <c r="A77" s="35">
        <v>76</v>
      </c>
      <c r="B77" s="27">
        <v>40547</v>
      </c>
      <c r="C77" s="8" t="str">
        <f t="shared" si="2"/>
        <v>2011</v>
      </c>
      <c r="D77" s="8" t="str">
        <f t="shared" si="3"/>
        <v>04</v>
      </c>
      <c r="E77" s="7">
        <v>1</v>
      </c>
      <c r="F77" s="7">
        <v>0</v>
      </c>
      <c r="G77" s="7">
        <v>1</v>
      </c>
      <c r="H77" s="7">
        <v>7</v>
      </c>
      <c r="I77" s="7" t="b">
        <v>0</v>
      </c>
      <c r="J77" s="22">
        <f>--Table1[[#This Row],[HOLIDAY]]</f>
        <v>0</v>
      </c>
      <c r="K77" s="9">
        <v>2</v>
      </c>
      <c r="L77" s="7">
        <v>1</v>
      </c>
      <c r="M77" s="7">
        <f>LEN(TEXT(Table1[[#This Row],[WEATHER]],"0"))</f>
        <v>1</v>
      </c>
      <c r="N77" s="36">
        <v>0.12</v>
      </c>
      <c r="O77" s="37">
        <f>VLOOKUP(Table1[[#This Row],[INSTANT]],[1]dataset_2!$A:$G,2,FALSE)</f>
        <v>0.2576</v>
      </c>
      <c r="P77" s="37">
        <f>VLOOKUP(Table1[[#This Row],[INSTANT]],[1]dataset_2!$A:$G,3,0)</f>
        <v>0.48</v>
      </c>
      <c r="Q77" s="37">
        <f>VLOOKUP(Table1[[#This Row],[INSTANT]],[1]dataset_2!$A:$D,4,FALSE)</f>
        <v>0.19400000000000001</v>
      </c>
      <c r="R77" s="37">
        <f>VLOOKUP(Table1[[#This Row],[INSTANT]],[1]dataset_2!$A:$G,5,0)</f>
        <v>3</v>
      </c>
      <c r="S77" s="38">
        <f>VLOOKUP(Table1[[#This Row],[INSTANT]],[1]dataset_2!$A:$G,6,0)</f>
        <v>179</v>
      </c>
      <c r="T77" s="38">
        <f>VLOOKUP(Table1[[#This Row],[INSTANT]],[1]dataset_2!$A:$G,7,0)</f>
        <v>182</v>
      </c>
    </row>
    <row r="78" spans="1:20" ht="13" x14ac:dyDescent="0.15">
      <c r="A78" s="35">
        <v>77</v>
      </c>
      <c r="B78" s="27">
        <v>40547</v>
      </c>
      <c r="C78" s="8" t="str">
        <f t="shared" si="2"/>
        <v>2011</v>
      </c>
      <c r="D78" s="8" t="str">
        <f t="shared" si="3"/>
        <v>04</v>
      </c>
      <c r="E78" s="7">
        <v>1</v>
      </c>
      <c r="F78" s="7">
        <v>0</v>
      </c>
      <c r="G78" s="7">
        <v>1</v>
      </c>
      <c r="H78" s="7">
        <v>8</v>
      </c>
      <c r="I78" s="7" t="b">
        <v>0</v>
      </c>
      <c r="J78" s="22">
        <f>--Table1[[#This Row],[HOLIDAY]]</f>
        <v>0</v>
      </c>
      <c r="K78" s="9">
        <v>2</v>
      </c>
      <c r="L78" s="7">
        <v>1</v>
      </c>
      <c r="M78" s="7">
        <f>LEN(TEXT(Table1[[#This Row],[WEATHER]],"0"))</f>
        <v>1</v>
      </c>
      <c r="N78" s="36">
        <v>0.14000000000000001</v>
      </c>
      <c r="O78" s="37">
        <f>VLOOKUP(Table1[[#This Row],[INSTANT]],[1]dataset_2!$A:$G,2,FALSE)</f>
        <v>0.2576</v>
      </c>
      <c r="P78" s="37">
        <f>VLOOKUP(Table1[[#This Row],[INSTANT]],[1]dataset_2!$A:$G,3,0)</f>
        <v>0.48</v>
      </c>
      <c r="Q78" s="37">
        <f>VLOOKUP(Table1[[#This Row],[INSTANT]],[1]dataset_2!$A:$D,4,FALSE)</f>
        <v>0.1045</v>
      </c>
      <c r="R78" s="37">
        <f>VLOOKUP(Table1[[#This Row],[INSTANT]],[1]dataset_2!$A:$G,5,0)</f>
        <v>2</v>
      </c>
      <c r="S78" s="38">
        <f>VLOOKUP(Table1[[#This Row],[INSTANT]],[1]dataset_2!$A:$G,6,0)</f>
        <v>110</v>
      </c>
      <c r="T78" s="38">
        <f>VLOOKUP(Table1[[#This Row],[INSTANT]],[1]dataset_2!$A:$G,7,0)</f>
        <v>112</v>
      </c>
    </row>
    <row r="79" spans="1:20" ht="13" x14ac:dyDescent="0.15">
      <c r="A79" s="35">
        <v>78</v>
      </c>
      <c r="B79" s="27">
        <v>40547</v>
      </c>
      <c r="C79" s="8" t="str">
        <f t="shared" si="2"/>
        <v>2011</v>
      </c>
      <c r="D79" s="8" t="str">
        <f t="shared" si="3"/>
        <v>04</v>
      </c>
      <c r="E79" s="7">
        <v>1</v>
      </c>
      <c r="F79" s="7">
        <v>0</v>
      </c>
      <c r="G79" s="7">
        <v>1</v>
      </c>
      <c r="H79" s="7">
        <v>9</v>
      </c>
      <c r="I79" s="7" t="b">
        <v>0</v>
      </c>
      <c r="J79" s="22">
        <f>--Table1[[#This Row],[HOLIDAY]]</f>
        <v>0</v>
      </c>
      <c r="K79" s="9">
        <v>2</v>
      </c>
      <c r="L79" s="7">
        <v>1</v>
      </c>
      <c r="M79" s="7">
        <f>LEN(TEXT(Table1[[#This Row],[WEATHER]],"0"))</f>
        <v>1</v>
      </c>
      <c r="N79" s="36">
        <v>0.16</v>
      </c>
      <c r="O79" s="37">
        <f>VLOOKUP(Table1[[#This Row],[INSTANT]],[1]dataset_2!$A:$G,2,FALSE)</f>
        <v>0.2576</v>
      </c>
      <c r="P79" s="37">
        <f>VLOOKUP(Table1[[#This Row],[INSTANT]],[1]dataset_2!$A:$G,3,0)</f>
        <v>0.48</v>
      </c>
      <c r="Q79" s="37">
        <f>VLOOKUP(Table1[[#This Row],[INSTANT]],[1]dataset_2!$A:$D,4,FALSE)</f>
        <v>0.1045</v>
      </c>
      <c r="R79" s="37">
        <f>VLOOKUP(Table1[[#This Row],[INSTANT]],[1]dataset_2!$A:$G,5,0)</f>
        <v>1</v>
      </c>
      <c r="S79" s="38">
        <f>VLOOKUP(Table1[[#This Row],[INSTANT]],[1]dataset_2!$A:$G,6,0)</f>
        <v>53</v>
      </c>
      <c r="T79" s="38">
        <f>VLOOKUP(Table1[[#This Row],[INSTANT]],[1]dataset_2!$A:$G,7,0)</f>
        <v>54</v>
      </c>
    </row>
    <row r="80" spans="1:20" ht="13" x14ac:dyDescent="0.15">
      <c r="A80" s="35">
        <v>79</v>
      </c>
      <c r="B80" s="27">
        <v>40547</v>
      </c>
      <c r="C80" s="8" t="str">
        <f t="shared" si="2"/>
        <v>2011</v>
      </c>
      <c r="D80" s="8" t="str">
        <f t="shared" si="3"/>
        <v>04</v>
      </c>
      <c r="E80" s="7">
        <v>1</v>
      </c>
      <c r="F80" s="7">
        <v>0</v>
      </c>
      <c r="G80" s="7">
        <v>1</v>
      </c>
      <c r="H80" s="7">
        <v>10</v>
      </c>
      <c r="I80" s="7" t="b">
        <v>0</v>
      </c>
      <c r="J80" s="22">
        <f>--Table1[[#This Row],[HOLIDAY]]</f>
        <v>0</v>
      </c>
      <c r="K80" s="9">
        <v>2</v>
      </c>
      <c r="L80" s="7">
        <v>2</v>
      </c>
      <c r="M80" s="7">
        <f>LEN(TEXT(Table1[[#This Row],[WEATHER]],"0"))</f>
        <v>1</v>
      </c>
      <c r="N80" s="36">
        <v>0.16</v>
      </c>
      <c r="O80" s="37">
        <f>VLOOKUP(Table1[[#This Row],[INSTANT]],[1]dataset_2!$A:$G,2,FALSE)</f>
        <v>0.2727</v>
      </c>
      <c r="P80" s="37">
        <f>VLOOKUP(Table1[[#This Row],[INSTANT]],[1]dataset_2!$A:$G,3,0)</f>
        <v>0.64</v>
      </c>
      <c r="Q80" s="37">
        <f>VLOOKUP(Table1[[#This Row],[INSTANT]],[1]dataset_2!$A:$D,4,FALSE)</f>
        <v>0</v>
      </c>
      <c r="R80" s="37">
        <f>VLOOKUP(Table1[[#This Row],[INSTANT]],[1]dataset_2!$A:$G,5,0)</f>
        <v>0</v>
      </c>
      <c r="S80" s="38">
        <f>VLOOKUP(Table1[[#This Row],[INSTANT]],[1]dataset_2!$A:$G,6,0)</f>
        <v>48</v>
      </c>
      <c r="T80" s="38">
        <f>VLOOKUP(Table1[[#This Row],[INSTANT]],[1]dataset_2!$A:$G,7,0)</f>
        <v>48</v>
      </c>
    </row>
    <row r="81" spans="1:20" ht="13" x14ac:dyDescent="0.15">
      <c r="A81" s="35">
        <v>80</v>
      </c>
      <c r="B81" s="27">
        <v>40547</v>
      </c>
      <c r="C81" s="8" t="str">
        <f t="shared" si="2"/>
        <v>2011</v>
      </c>
      <c r="D81" s="8" t="str">
        <f t="shared" si="3"/>
        <v>04</v>
      </c>
      <c r="E81" s="7">
        <v>1</v>
      </c>
      <c r="F81" s="7">
        <v>0</v>
      </c>
      <c r="G81" s="7">
        <v>1</v>
      </c>
      <c r="H81" s="7">
        <v>11</v>
      </c>
      <c r="I81" s="7" t="b">
        <v>0</v>
      </c>
      <c r="J81" s="22">
        <f>--Table1[[#This Row],[HOLIDAY]]</f>
        <v>0</v>
      </c>
      <c r="K81" s="9">
        <v>2</v>
      </c>
      <c r="L81" s="7">
        <v>1</v>
      </c>
      <c r="M81" s="7">
        <f>LEN(TEXT(Table1[[#This Row],[WEATHER]],"0"))</f>
        <v>1</v>
      </c>
      <c r="N81" s="36">
        <v>0.22</v>
      </c>
      <c r="O81" s="37">
        <f>VLOOKUP(Table1[[#This Row],[INSTANT]],[1]dataset_2!$A:$G,2,FALSE)</f>
        <v>0.2576</v>
      </c>
      <c r="P81" s="37">
        <f>VLOOKUP(Table1[[#This Row],[INSTANT]],[1]dataset_2!$A:$G,3,0)</f>
        <v>0.64</v>
      </c>
      <c r="Q81" s="37">
        <f>VLOOKUP(Table1[[#This Row],[INSTANT]],[1]dataset_2!$A:$D,4,FALSE)</f>
        <v>8.9599999999999999E-2</v>
      </c>
      <c r="R81" s="37">
        <f>VLOOKUP(Table1[[#This Row],[INSTANT]],[1]dataset_2!$A:$G,5,0)</f>
        <v>1</v>
      </c>
      <c r="S81" s="38">
        <f>VLOOKUP(Table1[[#This Row],[INSTANT]],[1]dataset_2!$A:$G,6,0)</f>
        <v>34</v>
      </c>
      <c r="T81" s="38">
        <f>VLOOKUP(Table1[[#This Row],[INSTANT]],[1]dataset_2!$A:$G,7,0)</f>
        <v>35</v>
      </c>
    </row>
    <row r="82" spans="1:20" ht="13" x14ac:dyDescent="0.15">
      <c r="A82" s="35">
        <v>81</v>
      </c>
      <c r="B82" s="27">
        <v>40547</v>
      </c>
      <c r="C82" s="8" t="str">
        <f t="shared" si="2"/>
        <v>2011</v>
      </c>
      <c r="D82" s="8" t="str">
        <f t="shared" si="3"/>
        <v>04</v>
      </c>
      <c r="E82" s="7">
        <v>1</v>
      </c>
      <c r="F82" s="7">
        <v>0</v>
      </c>
      <c r="G82" s="7">
        <v>1</v>
      </c>
      <c r="H82" s="7">
        <v>12</v>
      </c>
      <c r="I82" s="7" t="b">
        <v>0</v>
      </c>
      <c r="J82" s="22">
        <f>--Table1[[#This Row],[HOLIDAY]]</f>
        <v>0</v>
      </c>
      <c r="K82" s="9">
        <v>2</v>
      </c>
      <c r="L82" s="7">
        <v>1</v>
      </c>
      <c r="M82" s="7">
        <f>LEN(TEXT(Table1[[#This Row],[WEATHER]],"0"))</f>
        <v>1</v>
      </c>
      <c r="N82" s="36">
        <v>0.22</v>
      </c>
      <c r="O82" s="37">
        <f>VLOOKUP(Table1[[#This Row],[INSTANT]],[1]dataset_2!$A:$G,2,FALSE)</f>
        <v>0.2273</v>
      </c>
      <c r="P82" s="37">
        <f>VLOOKUP(Table1[[#This Row],[INSTANT]],[1]dataset_2!$A:$G,3,0)</f>
        <v>0.69</v>
      </c>
      <c r="Q82" s="37">
        <f>VLOOKUP(Table1[[#This Row],[INSTANT]],[1]dataset_2!$A:$D,4,FALSE)</f>
        <v>8.9599999999999999E-2</v>
      </c>
      <c r="R82" s="37">
        <f>VLOOKUP(Table1[[#This Row],[INSTANT]],[1]dataset_2!$A:$G,5,0)</f>
        <v>2</v>
      </c>
      <c r="S82" s="38">
        <f>VLOOKUP(Table1[[#This Row],[INSTANT]],[1]dataset_2!$A:$G,6,0)</f>
        <v>9</v>
      </c>
      <c r="T82" s="38">
        <f>VLOOKUP(Table1[[#This Row],[INSTANT]],[1]dataset_2!$A:$G,7,0)</f>
        <v>11</v>
      </c>
    </row>
    <row r="83" spans="1:20" ht="13" x14ac:dyDescent="0.15">
      <c r="A83" s="35">
        <v>82</v>
      </c>
      <c r="B83" s="27">
        <v>40547</v>
      </c>
      <c r="C83" s="8" t="str">
        <f t="shared" si="2"/>
        <v>2011</v>
      </c>
      <c r="D83" s="8" t="str">
        <f t="shared" si="3"/>
        <v>04</v>
      </c>
      <c r="E83" s="7">
        <v>1</v>
      </c>
      <c r="F83" s="7">
        <v>0</v>
      </c>
      <c r="G83" s="7">
        <v>1</v>
      </c>
      <c r="H83" s="7">
        <v>13</v>
      </c>
      <c r="I83" s="7" t="b">
        <v>0</v>
      </c>
      <c r="J83" s="22">
        <f>--Table1[[#This Row],[HOLIDAY]]</f>
        <v>0</v>
      </c>
      <c r="K83" s="9">
        <v>2</v>
      </c>
      <c r="L83" s="7">
        <v>1</v>
      </c>
      <c r="M83" s="7">
        <f>LEN(TEXT(Table1[[#This Row],[WEATHER]],"0"))</f>
        <v>1</v>
      </c>
      <c r="N83" s="36">
        <v>0.24</v>
      </c>
      <c r="O83" s="37">
        <f>VLOOKUP(Table1[[#This Row],[INSTANT]],[1]dataset_2!$A:$G,2,FALSE)</f>
        <v>0.2576</v>
      </c>
      <c r="P83" s="37">
        <f>VLOOKUP(Table1[[#This Row],[INSTANT]],[1]dataset_2!$A:$G,3,0)</f>
        <v>0.64</v>
      </c>
      <c r="Q83" s="37">
        <f>VLOOKUP(Table1[[#This Row],[INSTANT]],[1]dataset_2!$A:$D,4,FALSE)</f>
        <v>0</v>
      </c>
      <c r="R83" s="37">
        <f>VLOOKUP(Table1[[#This Row],[INSTANT]],[1]dataset_2!$A:$G,5,0)</f>
        <v>0</v>
      </c>
      <c r="S83" s="38">
        <f>VLOOKUP(Table1[[#This Row],[INSTANT]],[1]dataset_2!$A:$G,6,0)</f>
        <v>6</v>
      </c>
      <c r="T83" s="38">
        <f>VLOOKUP(Table1[[#This Row],[INSTANT]],[1]dataset_2!$A:$G,7,0)</f>
        <v>6</v>
      </c>
    </row>
    <row r="84" spans="1:20" ht="13" x14ac:dyDescent="0.15">
      <c r="A84" s="35">
        <v>83</v>
      </c>
      <c r="B84" s="27">
        <v>40547</v>
      </c>
      <c r="C84" s="8" t="str">
        <f t="shared" si="2"/>
        <v>2011</v>
      </c>
      <c r="D84" s="8" t="str">
        <f t="shared" si="3"/>
        <v>04</v>
      </c>
      <c r="E84" s="7">
        <v>1</v>
      </c>
      <c r="F84" s="7">
        <v>0</v>
      </c>
      <c r="G84" s="7">
        <v>1</v>
      </c>
      <c r="H84" s="7">
        <v>14</v>
      </c>
      <c r="I84" s="7" t="b">
        <v>0</v>
      </c>
      <c r="J84" s="22">
        <f>--Table1[[#This Row],[HOLIDAY]]</f>
        <v>0</v>
      </c>
      <c r="K84" s="9">
        <v>2</v>
      </c>
      <c r="L84" s="7">
        <v>1</v>
      </c>
      <c r="M84" s="7">
        <f>LEN(TEXT(Table1[[#This Row],[WEATHER]],"0"))</f>
        <v>1</v>
      </c>
      <c r="N84" s="36">
        <v>0.26</v>
      </c>
      <c r="O84" s="37">
        <f>VLOOKUP(Table1[[#This Row],[INSTANT]],[1]dataset_2!$A:$G,2,FALSE)</f>
        <v>0.19700000000000001</v>
      </c>
      <c r="P84" s="37">
        <f>VLOOKUP(Table1[[#This Row],[INSTANT]],[1]dataset_2!$A:$G,3,0)</f>
        <v>0.74</v>
      </c>
      <c r="Q84" s="37">
        <f>VLOOKUP(Table1[[#This Row],[INSTANT]],[1]dataset_2!$A:$D,4,FALSE)</f>
        <v>8.9599999999999999E-2</v>
      </c>
      <c r="R84" s="37">
        <f>VLOOKUP(Table1[[#This Row],[INSTANT]],[1]dataset_2!$A:$G,5,0)</f>
        <v>0</v>
      </c>
      <c r="S84" s="38">
        <f>VLOOKUP(Table1[[#This Row],[INSTANT]],[1]dataset_2!$A:$G,6,0)</f>
        <v>6</v>
      </c>
      <c r="T84" s="38">
        <f>VLOOKUP(Table1[[#This Row],[INSTANT]],[1]dataset_2!$A:$G,7,0)</f>
        <v>6</v>
      </c>
    </row>
    <row r="85" spans="1:20" ht="13" x14ac:dyDescent="0.15">
      <c r="A85" s="35">
        <v>84</v>
      </c>
      <c r="B85" s="27">
        <v>40547</v>
      </c>
      <c r="C85" s="8" t="str">
        <f t="shared" si="2"/>
        <v>2011</v>
      </c>
      <c r="D85" s="8" t="str">
        <f t="shared" si="3"/>
        <v>04</v>
      </c>
      <c r="E85" s="7">
        <v>1</v>
      </c>
      <c r="F85" s="7">
        <v>0</v>
      </c>
      <c r="G85" s="7">
        <v>1</v>
      </c>
      <c r="H85" s="7">
        <v>15</v>
      </c>
      <c r="I85" s="7" t="b">
        <v>0</v>
      </c>
      <c r="J85" s="22">
        <f>--Table1[[#This Row],[HOLIDAY]]</f>
        <v>0</v>
      </c>
      <c r="K85" s="9">
        <v>2</v>
      </c>
      <c r="L85" s="7">
        <v>1</v>
      </c>
      <c r="M85" s="7">
        <f>LEN(TEXT(Table1[[#This Row],[WEATHER]],"0"))</f>
        <v>1</v>
      </c>
      <c r="N85" s="36">
        <v>0.28000000000000003</v>
      </c>
      <c r="O85" s="37">
        <f>VLOOKUP(Table1[[#This Row],[INSTANT]],[1]dataset_2!$A:$G,2,FALSE)</f>
        <v>0.19700000000000001</v>
      </c>
      <c r="P85" s="37">
        <f>VLOOKUP(Table1[[#This Row],[INSTANT]],[1]dataset_2!$A:$G,3,0)</f>
        <v>0.74</v>
      </c>
      <c r="Q85" s="37">
        <f>VLOOKUP(Table1[[#This Row],[INSTANT]],[1]dataset_2!$A:$D,4,FALSE)</f>
        <v>8.9599999999999999E-2</v>
      </c>
      <c r="R85" s="37">
        <f>VLOOKUP(Table1[[#This Row],[INSTANT]],[1]dataset_2!$A:$G,5,0)</f>
        <v>0</v>
      </c>
      <c r="S85" s="38">
        <f>VLOOKUP(Table1[[#This Row],[INSTANT]],[1]dataset_2!$A:$G,6,0)</f>
        <v>2</v>
      </c>
      <c r="T85" s="38">
        <f>VLOOKUP(Table1[[#This Row],[INSTANT]],[1]dataset_2!$A:$G,7,0)</f>
        <v>2</v>
      </c>
    </row>
    <row r="86" spans="1:20" ht="13" x14ac:dyDescent="0.15">
      <c r="A86" s="35">
        <v>85</v>
      </c>
      <c r="B86" s="27">
        <v>40547</v>
      </c>
      <c r="C86" s="8" t="str">
        <f t="shared" si="2"/>
        <v>2011</v>
      </c>
      <c r="D86" s="8" t="str">
        <f t="shared" si="3"/>
        <v>04</v>
      </c>
      <c r="E86" s="7">
        <v>1</v>
      </c>
      <c r="F86" s="7">
        <v>0</v>
      </c>
      <c r="G86" s="7">
        <v>1</v>
      </c>
      <c r="H86" s="7">
        <v>16</v>
      </c>
      <c r="I86" s="7" t="b">
        <v>0</v>
      </c>
      <c r="J86" s="22">
        <f>--Table1[[#This Row],[HOLIDAY]]</f>
        <v>0</v>
      </c>
      <c r="K86" s="9">
        <v>2</v>
      </c>
      <c r="L86" s="7">
        <v>1</v>
      </c>
      <c r="M86" s="7">
        <f>LEN(TEXT(Table1[[#This Row],[WEATHER]],"0"))</f>
        <v>1</v>
      </c>
      <c r="N86" s="36">
        <v>0.3</v>
      </c>
      <c r="O86" s="37">
        <f>VLOOKUP(Table1[[#This Row],[INSTANT]],[1]dataset_2!$A:$G,2,FALSE)</f>
        <v>0.2273</v>
      </c>
      <c r="P86" s="37">
        <f>VLOOKUP(Table1[[#This Row],[INSTANT]],[1]dataset_2!$A:$G,3,0)</f>
        <v>0.48</v>
      </c>
      <c r="Q86" s="37">
        <f>VLOOKUP(Table1[[#This Row],[INSTANT]],[1]dataset_2!$A:$D,4,FALSE)</f>
        <v>0.22389999999999999</v>
      </c>
      <c r="R86" s="37">
        <f>VLOOKUP(Table1[[#This Row],[INSTANT]],[1]dataset_2!$A:$G,5,0)</f>
        <v>0</v>
      </c>
      <c r="S86" s="38">
        <f>VLOOKUP(Table1[[#This Row],[INSTANT]],[1]dataset_2!$A:$G,6,0)</f>
        <v>2</v>
      </c>
      <c r="T86" s="38">
        <f>VLOOKUP(Table1[[#This Row],[INSTANT]],[1]dataset_2!$A:$G,7,0)</f>
        <v>2</v>
      </c>
    </row>
    <row r="87" spans="1:20" ht="13" x14ac:dyDescent="0.15">
      <c r="A87" s="35">
        <v>86</v>
      </c>
      <c r="B87" s="27">
        <v>40547</v>
      </c>
      <c r="C87" s="8" t="str">
        <f t="shared" si="2"/>
        <v>2011</v>
      </c>
      <c r="D87" s="8" t="str">
        <f t="shared" si="3"/>
        <v>04</v>
      </c>
      <c r="E87" s="7">
        <v>1</v>
      </c>
      <c r="F87" s="7">
        <v>0</v>
      </c>
      <c r="G87" s="7">
        <v>1</v>
      </c>
      <c r="H87" s="7">
        <v>17</v>
      </c>
      <c r="I87" s="7" t="b">
        <v>0</v>
      </c>
      <c r="J87" s="22">
        <f>--Table1[[#This Row],[HOLIDAY]]</f>
        <v>0</v>
      </c>
      <c r="K87" s="9">
        <v>2</v>
      </c>
      <c r="L87" s="7">
        <v>1</v>
      </c>
      <c r="M87" s="7">
        <f>LEN(TEXT(Table1[[#This Row],[WEATHER]],"0"))</f>
        <v>1</v>
      </c>
      <c r="N87" s="36">
        <v>0.28000000000000003</v>
      </c>
      <c r="O87" s="37">
        <f>VLOOKUP(Table1[[#This Row],[INSTANT]],[1]dataset_2!$A:$G,2,FALSE)</f>
        <v>0.2273</v>
      </c>
      <c r="P87" s="37">
        <f>VLOOKUP(Table1[[#This Row],[INSTANT]],[1]dataset_2!$A:$G,3,0)</f>
        <v>0.47</v>
      </c>
      <c r="Q87" s="37">
        <f>VLOOKUP(Table1[[#This Row],[INSTANT]],[1]dataset_2!$A:$D,4,FALSE)</f>
        <v>0.16420000000000001</v>
      </c>
      <c r="R87" s="37">
        <f>VLOOKUP(Table1[[#This Row],[INSTANT]],[1]dataset_2!$A:$G,5,0)</f>
        <v>0</v>
      </c>
      <c r="S87" s="38">
        <f>VLOOKUP(Table1[[#This Row],[INSTANT]],[1]dataset_2!$A:$G,6,0)</f>
        <v>3</v>
      </c>
      <c r="T87" s="38">
        <f>VLOOKUP(Table1[[#This Row],[INSTANT]],[1]dataset_2!$A:$G,7,0)</f>
        <v>3</v>
      </c>
    </row>
    <row r="88" spans="1:20" ht="13" x14ac:dyDescent="0.15">
      <c r="A88" s="35">
        <v>87</v>
      </c>
      <c r="B88" s="27">
        <v>40547</v>
      </c>
      <c r="C88" s="8" t="str">
        <f t="shared" si="2"/>
        <v>2011</v>
      </c>
      <c r="D88" s="8" t="str">
        <f t="shared" si="3"/>
        <v>04</v>
      </c>
      <c r="E88" s="7">
        <v>1</v>
      </c>
      <c r="F88" s="7">
        <v>0</v>
      </c>
      <c r="G88" s="7">
        <v>1</v>
      </c>
      <c r="H88" s="7">
        <v>18</v>
      </c>
      <c r="I88" s="7" t="b">
        <v>0</v>
      </c>
      <c r="J88" s="22">
        <f>--Table1[[#This Row],[HOLIDAY]]</f>
        <v>0</v>
      </c>
      <c r="K88" s="9">
        <v>2</v>
      </c>
      <c r="L88" s="7">
        <v>1</v>
      </c>
      <c r="M88" s="7">
        <f>LEN(TEXT(Table1[[#This Row],[WEATHER]],"0"))</f>
        <v>1</v>
      </c>
      <c r="N88" s="36">
        <v>0.26</v>
      </c>
      <c r="O88" s="37">
        <f>VLOOKUP(Table1[[#This Row],[INSTANT]],[1]dataset_2!$A:$G,2,FALSE)</f>
        <v>0.19700000000000001</v>
      </c>
      <c r="P88" s="37">
        <f>VLOOKUP(Table1[[#This Row],[INSTANT]],[1]dataset_2!$A:$G,3,0)</f>
        <v>0.47</v>
      </c>
      <c r="Q88" s="37">
        <f>VLOOKUP(Table1[[#This Row],[INSTANT]],[1]dataset_2!$A:$D,4,FALSE)</f>
        <v>0.22389999999999999</v>
      </c>
      <c r="R88" s="37">
        <f>VLOOKUP(Table1[[#This Row],[INSTANT]],[1]dataset_2!$A:$G,5,0)</f>
        <v>0</v>
      </c>
      <c r="S88" s="38">
        <f>VLOOKUP(Table1[[#This Row],[INSTANT]],[1]dataset_2!$A:$G,6,0)</f>
        <v>33</v>
      </c>
      <c r="T88" s="38">
        <f>VLOOKUP(Table1[[#This Row],[INSTANT]],[1]dataset_2!$A:$G,7,0)</f>
        <v>33</v>
      </c>
    </row>
    <row r="89" spans="1:20" ht="13" x14ac:dyDescent="0.15">
      <c r="A89" s="35">
        <v>88</v>
      </c>
      <c r="B89" s="27">
        <v>40547</v>
      </c>
      <c r="C89" s="8" t="str">
        <f t="shared" si="2"/>
        <v>2011</v>
      </c>
      <c r="D89" s="8" t="str">
        <f t="shared" si="3"/>
        <v>04</v>
      </c>
      <c r="E89" s="7">
        <v>1</v>
      </c>
      <c r="F89" s="7">
        <v>0</v>
      </c>
      <c r="G89" s="7">
        <v>1</v>
      </c>
      <c r="H89" s="7">
        <v>19</v>
      </c>
      <c r="I89" s="7" t="b">
        <v>0</v>
      </c>
      <c r="J89" s="22">
        <f>--Table1[[#This Row],[HOLIDAY]]</f>
        <v>0</v>
      </c>
      <c r="K89" s="9">
        <v>2</v>
      </c>
      <c r="L89" s="7">
        <v>1</v>
      </c>
      <c r="M89" s="7">
        <f>LEN(TEXT(Table1[[#This Row],[WEATHER]],"0"))</f>
        <v>1</v>
      </c>
      <c r="N89" s="36">
        <v>0.24</v>
      </c>
      <c r="O89" s="37">
        <f>VLOOKUP(Table1[[#This Row],[INSTANT]],[1]dataset_2!$A:$G,2,FALSE)</f>
        <v>0.18179999999999999</v>
      </c>
      <c r="P89" s="37">
        <f>VLOOKUP(Table1[[#This Row],[INSTANT]],[1]dataset_2!$A:$G,3,0)</f>
        <v>0.43</v>
      </c>
      <c r="Q89" s="37">
        <f>VLOOKUP(Table1[[#This Row],[INSTANT]],[1]dataset_2!$A:$D,4,FALSE)</f>
        <v>0.19400000000000001</v>
      </c>
      <c r="R89" s="37">
        <f>VLOOKUP(Table1[[#This Row],[INSTANT]],[1]dataset_2!$A:$G,5,0)</f>
        <v>1</v>
      </c>
      <c r="S89" s="38">
        <f>VLOOKUP(Table1[[#This Row],[INSTANT]],[1]dataset_2!$A:$G,6,0)</f>
        <v>87</v>
      </c>
      <c r="T89" s="38">
        <f>VLOOKUP(Table1[[#This Row],[INSTANT]],[1]dataset_2!$A:$G,7,0)</f>
        <v>88</v>
      </c>
    </row>
    <row r="90" spans="1:20" ht="13" x14ac:dyDescent="0.15">
      <c r="A90" s="35">
        <v>89</v>
      </c>
      <c r="B90" s="27">
        <v>40547</v>
      </c>
      <c r="C90" s="8" t="str">
        <f t="shared" si="2"/>
        <v>2011</v>
      </c>
      <c r="D90" s="8" t="str">
        <f t="shared" si="3"/>
        <v>04</v>
      </c>
      <c r="E90" s="7">
        <v>1</v>
      </c>
      <c r="F90" s="7">
        <v>0</v>
      </c>
      <c r="G90" s="7">
        <v>1</v>
      </c>
      <c r="H90" s="7">
        <v>20</v>
      </c>
      <c r="I90" s="7" t="b">
        <v>0</v>
      </c>
      <c r="J90" s="22">
        <f>--Table1[[#This Row],[HOLIDAY]]</f>
        <v>0</v>
      </c>
      <c r="K90" s="9">
        <v>2</v>
      </c>
      <c r="L90" s="7">
        <v>1</v>
      </c>
      <c r="M90" s="7">
        <f>LEN(TEXT(Table1[[#This Row],[WEATHER]],"0"))</f>
        <v>1</v>
      </c>
      <c r="N90" s="36">
        <v>0.24</v>
      </c>
      <c r="O90" s="37">
        <f>VLOOKUP(Table1[[#This Row],[INSTANT]],[1]dataset_2!$A:$G,2,FALSE)</f>
        <v>0.18179999999999999</v>
      </c>
      <c r="P90" s="37">
        <f>VLOOKUP(Table1[[#This Row],[INSTANT]],[1]dataset_2!$A:$G,3,0)</f>
        <v>0.4</v>
      </c>
      <c r="Q90" s="37">
        <f>VLOOKUP(Table1[[#This Row],[INSTANT]],[1]dataset_2!$A:$D,4,FALSE)</f>
        <v>0.29849999999999999</v>
      </c>
      <c r="R90" s="37">
        <f>VLOOKUP(Table1[[#This Row],[INSTANT]],[1]dataset_2!$A:$G,5,0)</f>
        <v>3</v>
      </c>
      <c r="S90" s="38">
        <f>VLOOKUP(Table1[[#This Row],[INSTANT]],[1]dataset_2!$A:$G,6,0)</f>
        <v>192</v>
      </c>
      <c r="T90" s="38">
        <f>VLOOKUP(Table1[[#This Row],[INSTANT]],[1]dataset_2!$A:$G,7,0)</f>
        <v>195</v>
      </c>
    </row>
    <row r="91" spans="1:20" ht="13" x14ac:dyDescent="0.15">
      <c r="A91" s="35">
        <v>90</v>
      </c>
      <c r="B91" s="27">
        <v>40547</v>
      </c>
      <c r="C91" s="8" t="str">
        <f t="shared" si="2"/>
        <v>2011</v>
      </c>
      <c r="D91" s="8" t="str">
        <f t="shared" si="3"/>
        <v>04</v>
      </c>
      <c r="E91" s="7">
        <v>1</v>
      </c>
      <c r="F91" s="7">
        <v>0</v>
      </c>
      <c r="G91" s="7">
        <v>1</v>
      </c>
      <c r="H91" s="7">
        <v>21</v>
      </c>
      <c r="I91" s="7" t="b">
        <v>0</v>
      </c>
      <c r="J91" s="22">
        <f>--Table1[[#This Row],[HOLIDAY]]</f>
        <v>0</v>
      </c>
      <c r="K91" s="9">
        <v>2</v>
      </c>
      <c r="L91" s="7">
        <v>1</v>
      </c>
      <c r="M91" s="7">
        <f>LEN(TEXT(Table1[[#This Row],[WEATHER]],"0"))</f>
        <v>1</v>
      </c>
      <c r="N91" s="36">
        <v>0.22</v>
      </c>
      <c r="O91" s="37">
        <f>VLOOKUP(Table1[[#This Row],[INSTANT]],[1]dataset_2!$A:$G,2,FALSE)</f>
        <v>0.19700000000000001</v>
      </c>
      <c r="P91" s="37">
        <f>VLOOKUP(Table1[[#This Row],[INSTANT]],[1]dataset_2!$A:$G,3,0)</f>
        <v>0.37</v>
      </c>
      <c r="Q91" s="37">
        <f>VLOOKUP(Table1[[#This Row],[INSTANT]],[1]dataset_2!$A:$D,4,FALSE)</f>
        <v>0.32840000000000003</v>
      </c>
      <c r="R91" s="37">
        <f>VLOOKUP(Table1[[#This Row],[INSTANT]],[1]dataset_2!$A:$G,5,0)</f>
        <v>6</v>
      </c>
      <c r="S91" s="38">
        <f>VLOOKUP(Table1[[#This Row],[INSTANT]],[1]dataset_2!$A:$G,6,0)</f>
        <v>109</v>
      </c>
      <c r="T91" s="38">
        <f>VLOOKUP(Table1[[#This Row],[INSTANT]],[1]dataset_2!$A:$G,7,0)</f>
        <v>115</v>
      </c>
    </row>
    <row r="92" spans="1:20" ht="13" x14ac:dyDescent="0.15">
      <c r="A92" s="35">
        <v>91</v>
      </c>
      <c r="B92" s="27">
        <v>40547</v>
      </c>
      <c r="C92" s="8" t="str">
        <f t="shared" si="2"/>
        <v>2011</v>
      </c>
      <c r="D92" s="8" t="str">
        <f t="shared" si="3"/>
        <v>04</v>
      </c>
      <c r="E92" s="7">
        <v>1</v>
      </c>
      <c r="F92" s="7">
        <v>0</v>
      </c>
      <c r="G92" s="7">
        <v>1</v>
      </c>
      <c r="H92" s="7">
        <v>22</v>
      </c>
      <c r="I92" s="7" t="b">
        <v>0</v>
      </c>
      <c r="J92" s="22">
        <f>--Table1[[#This Row],[HOLIDAY]]</f>
        <v>0</v>
      </c>
      <c r="K92" s="9">
        <v>2</v>
      </c>
      <c r="L92" s="7">
        <v>1</v>
      </c>
      <c r="M92" s="7">
        <f>LEN(TEXT(Table1[[#This Row],[WEATHER]],"0"))</f>
        <v>1</v>
      </c>
      <c r="N92" s="36">
        <v>0.22</v>
      </c>
      <c r="O92" s="37">
        <f>VLOOKUP(Table1[[#This Row],[INSTANT]],[1]dataset_2!$A:$G,2,FALSE)</f>
        <v>0.19700000000000001</v>
      </c>
      <c r="P92" s="37">
        <f>VLOOKUP(Table1[[#This Row],[INSTANT]],[1]dataset_2!$A:$G,3,0)</f>
        <v>0.37</v>
      </c>
      <c r="Q92" s="37">
        <f>VLOOKUP(Table1[[#This Row],[INSTANT]],[1]dataset_2!$A:$D,4,FALSE)</f>
        <v>0.32840000000000003</v>
      </c>
      <c r="R92" s="37">
        <f>VLOOKUP(Table1[[#This Row],[INSTANT]],[1]dataset_2!$A:$G,5,0)</f>
        <v>4</v>
      </c>
      <c r="S92" s="38">
        <f>VLOOKUP(Table1[[#This Row],[INSTANT]],[1]dataset_2!$A:$G,6,0)</f>
        <v>53</v>
      </c>
      <c r="T92" s="38">
        <f>VLOOKUP(Table1[[#This Row],[INSTANT]],[1]dataset_2!$A:$G,7,0)</f>
        <v>57</v>
      </c>
    </row>
    <row r="93" spans="1:20" ht="13" x14ac:dyDescent="0.15">
      <c r="A93" s="35">
        <v>92</v>
      </c>
      <c r="B93" s="27">
        <v>40547</v>
      </c>
      <c r="C93" s="8" t="str">
        <f t="shared" si="2"/>
        <v>2011</v>
      </c>
      <c r="D93" s="8" t="str">
        <f t="shared" si="3"/>
        <v>04</v>
      </c>
      <c r="E93" s="7">
        <v>1</v>
      </c>
      <c r="F93" s="7">
        <v>0</v>
      </c>
      <c r="G93" s="7">
        <v>1</v>
      </c>
      <c r="H93" s="7">
        <v>23</v>
      </c>
      <c r="I93" s="7" t="b">
        <v>0</v>
      </c>
      <c r="J93" s="22">
        <f>--Table1[[#This Row],[HOLIDAY]]</f>
        <v>0</v>
      </c>
      <c r="K93" s="9">
        <v>2</v>
      </c>
      <c r="L93" s="7">
        <v>1</v>
      </c>
      <c r="M93" s="7">
        <f>LEN(TEXT(Table1[[#This Row],[WEATHER]],"0"))</f>
        <v>1</v>
      </c>
      <c r="N93" s="36">
        <v>0.2</v>
      </c>
      <c r="O93" s="37">
        <f>VLOOKUP(Table1[[#This Row],[INSTANT]],[1]dataset_2!$A:$G,2,FALSE)</f>
        <v>0.2273</v>
      </c>
      <c r="P93" s="37">
        <f>VLOOKUP(Table1[[#This Row],[INSTANT]],[1]dataset_2!$A:$G,3,0)</f>
        <v>0.33</v>
      </c>
      <c r="Q93" s="37">
        <f>VLOOKUP(Table1[[#This Row],[INSTANT]],[1]dataset_2!$A:$D,4,FALSE)</f>
        <v>0.32840000000000003</v>
      </c>
      <c r="R93" s="37">
        <f>VLOOKUP(Table1[[#This Row],[INSTANT]],[1]dataset_2!$A:$G,5,0)</f>
        <v>12</v>
      </c>
      <c r="S93" s="38">
        <f>VLOOKUP(Table1[[#This Row],[INSTANT]],[1]dataset_2!$A:$G,6,0)</f>
        <v>34</v>
      </c>
      <c r="T93" s="38">
        <f>VLOOKUP(Table1[[#This Row],[INSTANT]],[1]dataset_2!$A:$G,7,0)</f>
        <v>46</v>
      </c>
    </row>
    <row r="94" spans="1:20" ht="13" x14ac:dyDescent="0.15">
      <c r="A94" s="35">
        <v>93</v>
      </c>
      <c r="B94" s="27">
        <v>40548</v>
      </c>
      <c r="C94" s="8" t="str">
        <f t="shared" si="2"/>
        <v>2011</v>
      </c>
      <c r="D94" s="8" t="str">
        <f t="shared" si="3"/>
        <v>05</v>
      </c>
      <c r="E94" s="7">
        <v>1</v>
      </c>
      <c r="F94" s="7">
        <v>0</v>
      </c>
      <c r="G94" s="7">
        <v>1</v>
      </c>
      <c r="H94" s="7">
        <v>0</v>
      </c>
      <c r="I94" s="7" t="b">
        <v>0</v>
      </c>
      <c r="J94" s="22">
        <f>--Table1[[#This Row],[HOLIDAY]]</f>
        <v>0</v>
      </c>
      <c r="K94" s="9">
        <v>3</v>
      </c>
      <c r="L94" s="7">
        <v>1</v>
      </c>
      <c r="M94" s="7">
        <f>LEN(TEXT(Table1[[#This Row],[WEATHER]],"0"))</f>
        <v>1</v>
      </c>
      <c r="N94" s="36">
        <v>0.2</v>
      </c>
      <c r="O94" s="37">
        <f>VLOOKUP(Table1[[#This Row],[INSTANT]],[1]dataset_2!$A:$G,2,FALSE)</f>
        <v>0.2273</v>
      </c>
      <c r="P94" s="37">
        <f>VLOOKUP(Table1[[#This Row],[INSTANT]],[1]dataset_2!$A:$G,3,0)</f>
        <v>0.33</v>
      </c>
      <c r="Q94" s="37">
        <f>VLOOKUP(Table1[[#This Row],[INSTANT]],[1]dataset_2!$A:$D,4,FALSE)</f>
        <v>0.32840000000000003</v>
      </c>
      <c r="R94" s="37">
        <f>VLOOKUP(Table1[[#This Row],[INSTANT]],[1]dataset_2!$A:$G,5,0)</f>
        <v>5</v>
      </c>
      <c r="S94" s="38">
        <f>VLOOKUP(Table1[[#This Row],[INSTANT]],[1]dataset_2!$A:$G,6,0)</f>
        <v>74</v>
      </c>
      <c r="T94" s="38">
        <f>VLOOKUP(Table1[[#This Row],[INSTANT]],[1]dataset_2!$A:$G,7,0)</f>
        <v>79</v>
      </c>
    </row>
    <row r="95" spans="1:20" ht="13" x14ac:dyDescent="0.15">
      <c r="A95" s="35">
        <v>94</v>
      </c>
      <c r="B95" s="27">
        <v>40548</v>
      </c>
      <c r="C95" s="8" t="str">
        <f t="shared" si="2"/>
        <v>2011</v>
      </c>
      <c r="D95" s="8" t="str">
        <f t="shared" si="3"/>
        <v>05</v>
      </c>
      <c r="E95" s="7">
        <v>1</v>
      </c>
      <c r="F95" s="7">
        <v>0</v>
      </c>
      <c r="G95" s="7">
        <v>1</v>
      </c>
      <c r="H95" s="7">
        <v>1</v>
      </c>
      <c r="I95" s="7" t="b">
        <v>0</v>
      </c>
      <c r="J95" s="22">
        <f>--Table1[[#This Row],[HOLIDAY]]</f>
        <v>0</v>
      </c>
      <c r="K95" s="9">
        <v>3</v>
      </c>
      <c r="L95" s="7">
        <v>1</v>
      </c>
      <c r="M95" s="7">
        <f>LEN(TEXT(Table1[[#This Row],[WEATHER]],"0"))</f>
        <v>1</v>
      </c>
      <c r="N95" s="36">
        <v>0.16</v>
      </c>
      <c r="O95" s="37">
        <f>VLOOKUP(Table1[[#This Row],[INSTANT]],[1]dataset_2!$A:$G,2,FALSE)</f>
        <v>0.2576</v>
      </c>
      <c r="P95" s="37">
        <f>VLOOKUP(Table1[[#This Row],[INSTANT]],[1]dataset_2!$A:$G,3,0)</f>
        <v>0.3</v>
      </c>
      <c r="Q95" s="37">
        <f>VLOOKUP(Table1[[#This Row],[INSTANT]],[1]dataset_2!$A:$D,4,FALSE)</f>
        <v>0.29849999999999999</v>
      </c>
      <c r="R95" s="37">
        <f>VLOOKUP(Table1[[#This Row],[INSTANT]],[1]dataset_2!$A:$G,5,0)</f>
        <v>6</v>
      </c>
      <c r="S95" s="38">
        <f>VLOOKUP(Table1[[#This Row],[INSTANT]],[1]dataset_2!$A:$G,6,0)</f>
        <v>65</v>
      </c>
      <c r="T95" s="38">
        <f>VLOOKUP(Table1[[#This Row],[INSTANT]],[1]dataset_2!$A:$G,7,0)</f>
        <v>71</v>
      </c>
    </row>
    <row r="96" spans="1:20" ht="13" x14ac:dyDescent="0.15">
      <c r="A96" s="35">
        <v>95</v>
      </c>
      <c r="B96" s="27">
        <v>40548</v>
      </c>
      <c r="C96" s="8" t="str">
        <f t="shared" si="2"/>
        <v>2011</v>
      </c>
      <c r="D96" s="8" t="str">
        <f t="shared" si="3"/>
        <v>05</v>
      </c>
      <c r="E96" s="7">
        <v>1</v>
      </c>
      <c r="F96" s="7">
        <v>0</v>
      </c>
      <c r="G96" s="7">
        <v>1</v>
      </c>
      <c r="H96" s="7">
        <v>2</v>
      </c>
      <c r="I96" s="7" t="b">
        <v>0</v>
      </c>
      <c r="J96" s="22">
        <f>--Table1[[#This Row],[HOLIDAY]]</f>
        <v>0</v>
      </c>
      <c r="K96" s="9">
        <v>3</v>
      </c>
      <c r="L96" s="7">
        <v>1</v>
      </c>
      <c r="M96" s="7">
        <f>LEN(TEXT(Table1[[#This Row],[WEATHER]],"0"))</f>
        <v>1</v>
      </c>
      <c r="N96" s="36">
        <v>0.16</v>
      </c>
      <c r="O96" s="37">
        <f>VLOOKUP(Table1[[#This Row],[INSTANT]],[1]dataset_2!$A:$G,2,FALSE)</f>
        <v>0.28789999999999999</v>
      </c>
      <c r="P96" s="37">
        <f>VLOOKUP(Table1[[#This Row],[INSTANT]],[1]dataset_2!$A:$G,3,0)</f>
        <v>0.28000000000000003</v>
      </c>
      <c r="Q96" s="37">
        <f>VLOOKUP(Table1[[#This Row],[INSTANT]],[1]dataset_2!$A:$D,4,FALSE)</f>
        <v>0.19400000000000001</v>
      </c>
      <c r="R96" s="37">
        <f>VLOOKUP(Table1[[#This Row],[INSTANT]],[1]dataset_2!$A:$G,5,0)</f>
        <v>10</v>
      </c>
      <c r="S96" s="38">
        <f>VLOOKUP(Table1[[#This Row],[INSTANT]],[1]dataset_2!$A:$G,6,0)</f>
        <v>52</v>
      </c>
      <c r="T96" s="38">
        <f>VLOOKUP(Table1[[#This Row],[INSTANT]],[1]dataset_2!$A:$G,7,0)</f>
        <v>62</v>
      </c>
    </row>
    <row r="97" spans="1:20" ht="13" x14ac:dyDescent="0.15">
      <c r="A97" s="35">
        <v>96</v>
      </c>
      <c r="B97" s="27">
        <v>40548</v>
      </c>
      <c r="C97" s="8" t="str">
        <f t="shared" si="2"/>
        <v>2011</v>
      </c>
      <c r="D97" s="8" t="str">
        <f t="shared" si="3"/>
        <v>05</v>
      </c>
      <c r="E97" s="7">
        <v>1</v>
      </c>
      <c r="F97" s="7">
        <v>0</v>
      </c>
      <c r="G97" s="7">
        <v>1</v>
      </c>
      <c r="H97" s="7">
        <v>4</v>
      </c>
      <c r="I97" s="7" t="b">
        <v>0</v>
      </c>
      <c r="J97" s="22">
        <f>--Table1[[#This Row],[HOLIDAY]]</f>
        <v>0</v>
      </c>
      <c r="K97" s="9">
        <v>3</v>
      </c>
      <c r="L97" s="7">
        <v>1</v>
      </c>
      <c r="M97" s="7">
        <f>LEN(TEXT(Table1[[#This Row],[WEATHER]],"0"))</f>
        <v>1</v>
      </c>
      <c r="N97" s="36">
        <v>0.24</v>
      </c>
      <c r="O97" s="37">
        <f>VLOOKUP(Table1[[#This Row],[INSTANT]],[1]dataset_2!$A:$G,2,FALSE)</f>
        <v>0.28789999999999999</v>
      </c>
      <c r="P97" s="37">
        <f>VLOOKUP(Table1[[#This Row],[INSTANT]],[1]dataset_2!$A:$G,3,0)</f>
        <v>0.28000000000000003</v>
      </c>
      <c r="Q97" s="37">
        <f>VLOOKUP(Table1[[#This Row],[INSTANT]],[1]dataset_2!$A:$D,4,FALSE)</f>
        <v>0.19400000000000001</v>
      </c>
      <c r="R97" s="37">
        <f>VLOOKUP(Table1[[#This Row],[INSTANT]],[1]dataset_2!$A:$G,5,0)</f>
        <v>7</v>
      </c>
      <c r="S97" s="38">
        <f>VLOOKUP(Table1[[#This Row],[INSTANT]],[1]dataset_2!$A:$G,6,0)</f>
        <v>55</v>
      </c>
      <c r="T97" s="38">
        <f>VLOOKUP(Table1[[#This Row],[INSTANT]],[1]dataset_2!$A:$G,7,0)</f>
        <v>62</v>
      </c>
    </row>
    <row r="98" spans="1:20" ht="13" x14ac:dyDescent="0.15">
      <c r="A98" s="35">
        <v>97</v>
      </c>
      <c r="B98" s="27">
        <v>40548</v>
      </c>
      <c r="C98" s="8" t="str">
        <f t="shared" si="2"/>
        <v>2011</v>
      </c>
      <c r="D98" s="8" t="str">
        <f t="shared" si="3"/>
        <v>05</v>
      </c>
      <c r="E98" s="7">
        <v>1</v>
      </c>
      <c r="F98" s="7">
        <v>0</v>
      </c>
      <c r="G98" s="7">
        <v>1</v>
      </c>
      <c r="H98" s="7">
        <v>5</v>
      </c>
      <c r="I98" s="7" t="b">
        <v>0</v>
      </c>
      <c r="J98" s="22">
        <f>--Table1[[#This Row],[HOLIDAY]]</f>
        <v>0</v>
      </c>
      <c r="K98" s="9">
        <v>3</v>
      </c>
      <c r="L98" s="7">
        <v>1</v>
      </c>
      <c r="M98" s="7">
        <f>LEN(TEXT(Table1[[#This Row],[WEATHER]],"0"))</f>
        <v>1</v>
      </c>
      <c r="N98" s="36">
        <v>0.22</v>
      </c>
      <c r="O98" s="37">
        <f>VLOOKUP(Table1[[#This Row],[INSTANT]],[1]dataset_2!$A:$G,2,FALSE)</f>
        <v>0.31819999999999998</v>
      </c>
      <c r="P98" s="37">
        <f>VLOOKUP(Table1[[#This Row],[INSTANT]],[1]dataset_2!$A:$G,3,0)</f>
        <v>0.28000000000000003</v>
      </c>
      <c r="Q98" s="37">
        <f>VLOOKUP(Table1[[#This Row],[INSTANT]],[1]dataset_2!$A:$D,4,FALSE)</f>
        <v>8.9599999999999999E-2</v>
      </c>
      <c r="R98" s="37">
        <f>VLOOKUP(Table1[[#This Row],[INSTANT]],[1]dataset_2!$A:$G,5,0)</f>
        <v>4</v>
      </c>
      <c r="S98" s="38">
        <f>VLOOKUP(Table1[[#This Row],[INSTANT]],[1]dataset_2!$A:$G,6,0)</f>
        <v>85</v>
      </c>
      <c r="T98" s="38">
        <f>VLOOKUP(Table1[[#This Row],[INSTANT]],[1]dataset_2!$A:$G,7,0)</f>
        <v>89</v>
      </c>
    </row>
    <row r="99" spans="1:20" ht="13" x14ac:dyDescent="0.15">
      <c r="A99" s="35">
        <v>98</v>
      </c>
      <c r="B99" s="27">
        <v>40548</v>
      </c>
      <c r="C99" s="8" t="str">
        <f t="shared" si="2"/>
        <v>2011</v>
      </c>
      <c r="D99" s="8" t="str">
        <f t="shared" si="3"/>
        <v>05</v>
      </c>
      <c r="E99" s="7">
        <v>1</v>
      </c>
      <c r="F99" s="7">
        <v>0</v>
      </c>
      <c r="G99" s="7">
        <v>1</v>
      </c>
      <c r="H99" s="7">
        <v>6</v>
      </c>
      <c r="I99" s="7" t="b">
        <v>0</v>
      </c>
      <c r="J99" s="22">
        <f>--Table1[[#This Row],[HOLIDAY]]</f>
        <v>0</v>
      </c>
      <c r="K99" s="9">
        <v>3</v>
      </c>
      <c r="L99" s="7">
        <v>1</v>
      </c>
      <c r="M99" s="7">
        <f>LEN(TEXT(Table1[[#This Row],[WEATHER]],"0"))</f>
        <v>1</v>
      </c>
      <c r="N99" s="36">
        <v>0.2</v>
      </c>
      <c r="O99" s="37">
        <f>VLOOKUP(Table1[[#This Row],[INSTANT]],[1]dataset_2!$A:$G,2,FALSE)</f>
        <v>0.2273</v>
      </c>
      <c r="P99" s="37">
        <f>VLOOKUP(Table1[[#This Row],[INSTANT]],[1]dataset_2!$A:$G,3,0)</f>
        <v>0.38</v>
      </c>
      <c r="Q99" s="37">
        <f>VLOOKUP(Table1[[#This Row],[INSTANT]],[1]dataset_2!$A:$D,4,FALSE)</f>
        <v>0.19400000000000001</v>
      </c>
      <c r="R99" s="37">
        <f>VLOOKUP(Table1[[#This Row],[INSTANT]],[1]dataset_2!$A:$G,5,0)</f>
        <v>4</v>
      </c>
      <c r="S99" s="38">
        <f>VLOOKUP(Table1[[#This Row],[INSTANT]],[1]dataset_2!$A:$G,6,0)</f>
        <v>186</v>
      </c>
      <c r="T99" s="38">
        <f>VLOOKUP(Table1[[#This Row],[INSTANT]],[1]dataset_2!$A:$G,7,0)</f>
        <v>190</v>
      </c>
    </row>
    <row r="100" spans="1:20" ht="13" x14ac:dyDescent="0.15">
      <c r="A100" s="35">
        <v>99</v>
      </c>
      <c r="B100" s="27">
        <v>40548</v>
      </c>
      <c r="C100" s="8" t="str">
        <f t="shared" si="2"/>
        <v>2011</v>
      </c>
      <c r="D100" s="8" t="str">
        <f t="shared" si="3"/>
        <v>05</v>
      </c>
      <c r="E100" s="7">
        <v>1</v>
      </c>
      <c r="F100" s="7">
        <v>0</v>
      </c>
      <c r="G100" s="7">
        <v>1</v>
      </c>
      <c r="H100" s="7">
        <v>7</v>
      </c>
      <c r="I100" s="7" t="b">
        <v>0</v>
      </c>
      <c r="J100" s="22">
        <f>--Table1[[#This Row],[HOLIDAY]]</f>
        <v>0</v>
      </c>
      <c r="K100" s="9">
        <v>3</v>
      </c>
      <c r="L100" s="7">
        <v>1</v>
      </c>
      <c r="M100" s="7">
        <f>LEN(TEXT(Table1[[#This Row],[WEATHER]],"0"))</f>
        <v>1</v>
      </c>
      <c r="N100" s="36">
        <v>0.18</v>
      </c>
      <c r="O100" s="37">
        <f>VLOOKUP(Table1[[#This Row],[INSTANT]],[1]dataset_2!$A:$G,2,FALSE)</f>
        <v>0.2424</v>
      </c>
      <c r="P100" s="37">
        <f>VLOOKUP(Table1[[#This Row],[INSTANT]],[1]dataset_2!$A:$G,3,0)</f>
        <v>0.38</v>
      </c>
      <c r="Q100" s="37">
        <f>VLOOKUP(Table1[[#This Row],[INSTANT]],[1]dataset_2!$A:$D,4,FALSE)</f>
        <v>0.1343</v>
      </c>
      <c r="R100" s="37">
        <f>VLOOKUP(Table1[[#This Row],[INSTANT]],[1]dataset_2!$A:$G,5,0)</f>
        <v>3</v>
      </c>
      <c r="S100" s="38">
        <f>VLOOKUP(Table1[[#This Row],[INSTANT]],[1]dataset_2!$A:$G,6,0)</f>
        <v>166</v>
      </c>
      <c r="T100" s="38">
        <f>VLOOKUP(Table1[[#This Row],[INSTANT]],[1]dataset_2!$A:$G,7,0)</f>
        <v>169</v>
      </c>
    </row>
    <row r="101" spans="1:20" ht="13" x14ac:dyDescent="0.15">
      <c r="A101" s="35">
        <v>100</v>
      </c>
      <c r="B101" s="27">
        <v>40548</v>
      </c>
      <c r="C101" s="8" t="str">
        <f t="shared" si="2"/>
        <v>2011</v>
      </c>
      <c r="D101" s="8" t="str">
        <f t="shared" si="3"/>
        <v>05</v>
      </c>
      <c r="E101" s="7">
        <v>1</v>
      </c>
      <c r="F101" s="7">
        <v>0</v>
      </c>
      <c r="G101" s="7">
        <v>1</v>
      </c>
      <c r="H101" s="7">
        <v>8</v>
      </c>
      <c r="I101" s="7" t="b">
        <v>0</v>
      </c>
      <c r="J101" s="22">
        <f>--Table1[[#This Row],[HOLIDAY]]</f>
        <v>0</v>
      </c>
      <c r="K101" s="9">
        <v>3</v>
      </c>
      <c r="L101" s="7">
        <v>1</v>
      </c>
      <c r="M101" s="7">
        <f>LEN(TEXT(Table1[[#This Row],[WEATHER]],"0"))</f>
        <v>1</v>
      </c>
      <c r="N101" s="36">
        <v>0.2</v>
      </c>
      <c r="O101" s="37">
        <f>VLOOKUP(Table1[[#This Row],[INSTANT]],[1]dataset_2!$A:$G,2,FALSE)</f>
        <v>0.2576</v>
      </c>
      <c r="P101" s="37">
        <f>VLOOKUP(Table1[[#This Row],[INSTANT]],[1]dataset_2!$A:$G,3,0)</f>
        <v>0.38</v>
      </c>
      <c r="Q101" s="37">
        <f>VLOOKUP(Table1[[#This Row],[INSTANT]],[1]dataset_2!$A:$D,4,FALSE)</f>
        <v>0.1045</v>
      </c>
      <c r="R101" s="37">
        <f>VLOOKUP(Table1[[#This Row],[INSTANT]],[1]dataset_2!$A:$G,5,0)</f>
        <v>5</v>
      </c>
      <c r="S101" s="38">
        <f>VLOOKUP(Table1[[#This Row],[INSTANT]],[1]dataset_2!$A:$G,6,0)</f>
        <v>127</v>
      </c>
      <c r="T101" s="38">
        <f>VLOOKUP(Table1[[#This Row],[INSTANT]],[1]dataset_2!$A:$G,7,0)</f>
        <v>132</v>
      </c>
    </row>
    <row r="102" spans="1:20" ht="13" x14ac:dyDescent="0.15">
      <c r="A102" s="35">
        <v>101</v>
      </c>
      <c r="B102" s="27">
        <v>40548</v>
      </c>
      <c r="C102" s="8" t="str">
        <f t="shared" si="2"/>
        <v>2011</v>
      </c>
      <c r="D102" s="8" t="str">
        <f t="shared" si="3"/>
        <v>05</v>
      </c>
      <c r="E102" s="7">
        <v>1</v>
      </c>
      <c r="F102" s="7">
        <v>0</v>
      </c>
      <c r="G102" s="7">
        <v>1</v>
      </c>
      <c r="H102" s="7">
        <v>9</v>
      </c>
      <c r="I102" s="7" t="b">
        <v>0</v>
      </c>
      <c r="J102" s="22">
        <f>--Table1[[#This Row],[HOLIDAY]]</f>
        <v>0</v>
      </c>
      <c r="K102" s="9">
        <v>3</v>
      </c>
      <c r="L102" s="7">
        <v>1</v>
      </c>
      <c r="M102" s="7">
        <f>LEN(TEXT(Table1[[#This Row],[WEATHER]],"0"))</f>
        <v>1</v>
      </c>
      <c r="N102" s="36">
        <v>0.22</v>
      </c>
      <c r="O102" s="37">
        <f>VLOOKUP(Table1[[#This Row],[INSTANT]],[1]dataset_2!$A:$G,2,FALSE)</f>
        <v>0.2273</v>
      </c>
      <c r="P102" s="37">
        <f>VLOOKUP(Table1[[#This Row],[INSTANT]],[1]dataset_2!$A:$G,3,0)</f>
        <v>0.47</v>
      </c>
      <c r="Q102" s="37">
        <f>VLOOKUP(Table1[[#This Row],[INSTANT]],[1]dataset_2!$A:$D,4,FALSE)</f>
        <v>0.16420000000000001</v>
      </c>
      <c r="R102" s="37">
        <f>VLOOKUP(Table1[[#This Row],[INSTANT]],[1]dataset_2!$A:$G,5,0)</f>
        <v>7</v>
      </c>
      <c r="S102" s="38">
        <f>VLOOKUP(Table1[[#This Row],[INSTANT]],[1]dataset_2!$A:$G,6,0)</f>
        <v>82</v>
      </c>
      <c r="T102" s="38">
        <f>VLOOKUP(Table1[[#This Row],[INSTANT]],[1]dataset_2!$A:$G,7,0)</f>
        <v>89</v>
      </c>
    </row>
    <row r="103" spans="1:20" ht="13" x14ac:dyDescent="0.15">
      <c r="A103" s="35">
        <v>102</v>
      </c>
      <c r="B103" s="27">
        <v>40548</v>
      </c>
      <c r="C103" s="8" t="str">
        <f t="shared" si="2"/>
        <v>2011</v>
      </c>
      <c r="D103" s="8" t="str">
        <f t="shared" si="3"/>
        <v>05</v>
      </c>
      <c r="E103" s="7">
        <v>1</v>
      </c>
      <c r="F103" s="7">
        <v>0</v>
      </c>
      <c r="G103" s="7">
        <v>1</v>
      </c>
      <c r="H103" s="7">
        <v>10</v>
      </c>
      <c r="I103" s="7" t="b">
        <v>0</v>
      </c>
      <c r="J103" s="22">
        <f>--Table1[[#This Row],[HOLIDAY]]</f>
        <v>0</v>
      </c>
      <c r="K103" s="9">
        <v>3</v>
      </c>
      <c r="L103" s="7">
        <v>1</v>
      </c>
      <c r="M103" s="7">
        <f>LEN(TEXT(Table1[[#This Row],[WEATHER]],"0"))</f>
        <v>1</v>
      </c>
      <c r="N103" s="36">
        <v>0.22</v>
      </c>
      <c r="O103" s="37">
        <f>VLOOKUP(Table1[[#This Row],[INSTANT]],[1]dataset_2!$A:$G,2,FALSE)</f>
        <v>0.19700000000000001</v>
      </c>
      <c r="P103" s="37">
        <f>VLOOKUP(Table1[[#This Row],[INSTANT]],[1]dataset_2!$A:$G,3,0)</f>
        <v>0.51</v>
      </c>
      <c r="Q103" s="37">
        <f>VLOOKUP(Table1[[#This Row],[INSTANT]],[1]dataset_2!$A:$D,4,FALSE)</f>
        <v>0.19400000000000001</v>
      </c>
      <c r="R103" s="37">
        <f>VLOOKUP(Table1[[#This Row],[INSTANT]],[1]dataset_2!$A:$G,5,0)</f>
        <v>3</v>
      </c>
      <c r="S103" s="38">
        <f>VLOOKUP(Table1[[#This Row],[INSTANT]],[1]dataset_2!$A:$G,6,0)</f>
        <v>40</v>
      </c>
      <c r="T103" s="38">
        <f>VLOOKUP(Table1[[#This Row],[INSTANT]],[1]dataset_2!$A:$G,7,0)</f>
        <v>43</v>
      </c>
    </row>
    <row r="104" spans="1:20" ht="13" x14ac:dyDescent="0.15">
      <c r="A104" s="35">
        <v>103</v>
      </c>
      <c r="B104" s="27">
        <v>40548</v>
      </c>
      <c r="C104" s="8" t="str">
        <f t="shared" si="2"/>
        <v>2011</v>
      </c>
      <c r="D104" s="8" t="str">
        <f t="shared" si="3"/>
        <v>05</v>
      </c>
      <c r="E104" s="7">
        <v>1</v>
      </c>
      <c r="F104" s="7">
        <v>0</v>
      </c>
      <c r="G104" s="7">
        <v>1</v>
      </c>
      <c r="H104" s="7">
        <v>11</v>
      </c>
      <c r="I104" s="7" t="b">
        <v>0</v>
      </c>
      <c r="J104" s="22">
        <f>--Table1[[#This Row],[HOLIDAY]]</f>
        <v>0</v>
      </c>
      <c r="K104" s="9">
        <v>3</v>
      </c>
      <c r="L104" s="7">
        <v>1</v>
      </c>
      <c r="M104" s="7">
        <f>LEN(TEXT(Table1[[#This Row],[WEATHER]],"0"))</f>
        <v>1</v>
      </c>
      <c r="N104" s="36">
        <v>0.26</v>
      </c>
      <c r="O104" s="37">
        <f>VLOOKUP(Table1[[#This Row],[INSTANT]],[1]dataset_2!$A:$G,2,FALSE)</f>
        <v>0.19700000000000001</v>
      </c>
      <c r="P104" s="37">
        <f>VLOOKUP(Table1[[#This Row],[INSTANT]],[1]dataset_2!$A:$G,3,0)</f>
        <v>0.55000000000000004</v>
      </c>
      <c r="Q104" s="37">
        <f>VLOOKUP(Table1[[#This Row],[INSTANT]],[1]dataset_2!$A:$D,4,FALSE)</f>
        <v>0.1343</v>
      </c>
      <c r="R104" s="37">
        <f>VLOOKUP(Table1[[#This Row],[INSTANT]],[1]dataset_2!$A:$G,5,0)</f>
        <v>1</v>
      </c>
      <c r="S104" s="38">
        <f>VLOOKUP(Table1[[#This Row],[INSTANT]],[1]dataset_2!$A:$G,6,0)</f>
        <v>41</v>
      </c>
      <c r="T104" s="38">
        <f>VLOOKUP(Table1[[#This Row],[INSTANT]],[1]dataset_2!$A:$G,7,0)</f>
        <v>42</v>
      </c>
    </row>
    <row r="105" spans="1:20" ht="13" x14ac:dyDescent="0.15">
      <c r="A105" s="35">
        <v>104</v>
      </c>
      <c r="B105" s="27">
        <v>40548</v>
      </c>
      <c r="C105" s="8" t="str">
        <f t="shared" si="2"/>
        <v>2011</v>
      </c>
      <c r="D105" s="8" t="str">
        <f t="shared" si="3"/>
        <v>05</v>
      </c>
      <c r="E105" s="7">
        <v>1</v>
      </c>
      <c r="F105" s="7">
        <v>0</v>
      </c>
      <c r="G105" s="7">
        <v>1</v>
      </c>
      <c r="H105" s="7">
        <v>12</v>
      </c>
      <c r="I105" s="7" t="b">
        <v>0</v>
      </c>
      <c r="J105" s="22">
        <f>--Table1[[#This Row],[HOLIDAY]]</f>
        <v>0</v>
      </c>
      <c r="K105" s="9">
        <v>3</v>
      </c>
      <c r="L105" s="7">
        <v>1</v>
      </c>
      <c r="M105" s="7">
        <f>LEN(TEXT(Table1[[#This Row],[WEATHER]],"0"))</f>
        <v>1</v>
      </c>
      <c r="N105" s="36">
        <v>0.26</v>
      </c>
      <c r="O105" s="37">
        <f>VLOOKUP(Table1[[#This Row],[INSTANT]],[1]dataset_2!$A:$G,2,FALSE)</f>
        <v>0.2576</v>
      </c>
      <c r="P105" s="37">
        <f>VLOOKUP(Table1[[#This Row],[INSTANT]],[1]dataset_2!$A:$G,3,0)</f>
        <v>0.47</v>
      </c>
      <c r="Q105" s="37">
        <f>VLOOKUP(Table1[[#This Row],[INSTANT]],[1]dataset_2!$A:$D,4,FALSE)</f>
        <v>0</v>
      </c>
      <c r="R105" s="37">
        <f>VLOOKUP(Table1[[#This Row],[INSTANT]],[1]dataset_2!$A:$G,5,0)</f>
        <v>1</v>
      </c>
      <c r="S105" s="38">
        <f>VLOOKUP(Table1[[#This Row],[INSTANT]],[1]dataset_2!$A:$G,6,0)</f>
        <v>18</v>
      </c>
      <c r="T105" s="38">
        <f>VLOOKUP(Table1[[#This Row],[INSTANT]],[1]dataset_2!$A:$G,7,0)</f>
        <v>19</v>
      </c>
    </row>
    <row r="106" spans="1:20" ht="13" x14ac:dyDescent="0.15">
      <c r="A106" s="35">
        <v>105</v>
      </c>
      <c r="B106" s="27">
        <v>40548</v>
      </c>
      <c r="C106" s="8" t="str">
        <f t="shared" si="2"/>
        <v>2011</v>
      </c>
      <c r="D106" s="8" t="str">
        <f t="shared" si="3"/>
        <v>05</v>
      </c>
      <c r="E106" s="7">
        <v>1</v>
      </c>
      <c r="F106" s="7">
        <v>0</v>
      </c>
      <c r="G106" s="7">
        <v>1</v>
      </c>
      <c r="H106" s="7">
        <v>13</v>
      </c>
      <c r="I106" s="7" t="b">
        <v>0</v>
      </c>
      <c r="J106" s="22">
        <f>--Table1[[#This Row],[HOLIDAY]]</f>
        <v>0</v>
      </c>
      <c r="K106" s="9">
        <v>3</v>
      </c>
      <c r="L106" s="7">
        <v>1</v>
      </c>
      <c r="M106" s="7">
        <f>LEN(TEXT(Table1[[#This Row],[WEATHER]],"0"))</f>
        <v>1</v>
      </c>
      <c r="N106" s="36">
        <v>0.28000000000000003</v>
      </c>
      <c r="O106" s="37">
        <f>VLOOKUP(Table1[[#This Row],[INSTANT]],[1]dataset_2!$A:$G,2,FALSE)</f>
        <v>0.2424</v>
      </c>
      <c r="P106" s="37">
        <f>VLOOKUP(Table1[[#This Row],[INSTANT]],[1]dataset_2!$A:$G,3,0)</f>
        <v>0.55000000000000004</v>
      </c>
      <c r="Q106" s="37">
        <f>VLOOKUP(Table1[[#This Row],[INSTANT]],[1]dataset_2!$A:$D,4,FALSE)</f>
        <v>0</v>
      </c>
      <c r="R106" s="37">
        <f>VLOOKUP(Table1[[#This Row],[INSTANT]],[1]dataset_2!$A:$G,5,0)</f>
        <v>0</v>
      </c>
      <c r="S106" s="38">
        <f>VLOOKUP(Table1[[#This Row],[INSTANT]],[1]dataset_2!$A:$G,6,0)</f>
        <v>11</v>
      </c>
      <c r="T106" s="38">
        <f>VLOOKUP(Table1[[#This Row],[INSTANT]],[1]dataset_2!$A:$G,7,0)</f>
        <v>11</v>
      </c>
    </row>
    <row r="107" spans="1:20" ht="13" x14ac:dyDescent="0.15">
      <c r="A107" s="35">
        <v>106</v>
      </c>
      <c r="B107" s="27">
        <v>40548</v>
      </c>
      <c r="C107" s="8" t="str">
        <f t="shared" si="2"/>
        <v>2011</v>
      </c>
      <c r="D107" s="8" t="str">
        <f t="shared" si="3"/>
        <v>05</v>
      </c>
      <c r="E107" s="7">
        <v>1</v>
      </c>
      <c r="F107" s="7">
        <v>0</v>
      </c>
      <c r="G107" s="7">
        <v>1</v>
      </c>
      <c r="H107" s="7">
        <v>14</v>
      </c>
      <c r="I107" s="7" t="b">
        <v>0</v>
      </c>
      <c r="J107" s="22">
        <f>--Table1[[#This Row],[HOLIDAY]]</f>
        <v>0</v>
      </c>
      <c r="K107" s="9">
        <v>3</v>
      </c>
      <c r="L107" s="7">
        <v>1</v>
      </c>
      <c r="M107" s="7">
        <f>LEN(TEXT(Table1[[#This Row],[WEATHER]],"0"))</f>
        <v>1</v>
      </c>
      <c r="N107" s="36">
        <v>0.3</v>
      </c>
      <c r="O107" s="37">
        <f>VLOOKUP(Table1[[#This Row],[INSTANT]],[1]dataset_2!$A:$G,2,FALSE)</f>
        <v>0.2273</v>
      </c>
      <c r="P107" s="37">
        <f>VLOOKUP(Table1[[#This Row],[INSTANT]],[1]dataset_2!$A:$G,3,0)</f>
        <v>0.64</v>
      </c>
      <c r="Q107" s="37">
        <f>VLOOKUP(Table1[[#This Row],[INSTANT]],[1]dataset_2!$A:$D,4,FALSE)</f>
        <v>0</v>
      </c>
      <c r="R107" s="37">
        <f>VLOOKUP(Table1[[#This Row],[INSTANT]],[1]dataset_2!$A:$G,5,0)</f>
        <v>0</v>
      </c>
      <c r="S107" s="38">
        <f>VLOOKUP(Table1[[#This Row],[INSTANT]],[1]dataset_2!$A:$G,6,0)</f>
        <v>4</v>
      </c>
      <c r="T107" s="38">
        <f>VLOOKUP(Table1[[#This Row],[INSTANT]],[1]dataset_2!$A:$G,7,0)</f>
        <v>4</v>
      </c>
    </row>
    <row r="108" spans="1:20" ht="13" x14ac:dyDescent="0.15">
      <c r="A108" s="35">
        <v>107</v>
      </c>
      <c r="B108" s="27">
        <v>40548</v>
      </c>
      <c r="C108" s="8" t="str">
        <f t="shared" si="2"/>
        <v>2011</v>
      </c>
      <c r="D108" s="8" t="str">
        <f t="shared" si="3"/>
        <v>05</v>
      </c>
      <c r="E108" s="7">
        <v>1</v>
      </c>
      <c r="F108" s="7">
        <v>0</v>
      </c>
      <c r="G108" s="7">
        <v>1</v>
      </c>
      <c r="H108" s="7">
        <v>15</v>
      </c>
      <c r="I108" s="7" t="b">
        <v>0</v>
      </c>
      <c r="J108" s="22">
        <f>--Table1[[#This Row],[HOLIDAY]]</f>
        <v>0</v>
      </c>
      <c r="K108" s="9">
        <v>3</v>
      </c>
      <c r="L108" s="7">
        <v>1</v>
      </c>
      <c r="M108" s="7">
        <f>LEN(TEXT(Table1[[#This Row],[WEATHER]],"0"))</f>
        <v>1</v>
      </c>
      <c r="N108" s="36">
        <v>0.3</v>
      </c>
      <c r="O108" s="37">
        <f>VLOOKUP(Table1[[#This Row],[INSTANT]],[1]dataset_2!$A:$G,2,FALSE)</f>
        <v>0.2273</v>
      </c>
      <c r="P108" s="37">
        <f>VLOOKUP(Table1[[#This Row],[INSTANT]],[1]dataset_2!$A:$G,3,0)</f>
        <v>0.64</v>
      </c>
      <c r="Q108" s="37">
        <f>VLOOKUP(Table1[[#This Row],[INSTANT]],[1]dataset_2!$A:$D,4,FALSE)</f>
        <v>0</v>
      </c>
      <c r="R108" s="37">
        <f>VLOOKUP(Table1[[#This Row],[INSTANT]],[1]dataset_2!$A:$G,5,0)</f>
        <v>0</v>
      </c>
      <c r="S108" s="38">
        <f>VLOOKUP(Table1[[#This Row],[INSTANT]],[1]dataset_2!$A:$G,6,0)</f>
        <v>2</v>
      </c>
      <c r="T108" s="38">
        <f>VLOOKUP(Table1[[#This Row],[INSTANT]],[1]dataset_2!$A:$G,7,0)</f>
        <v>2</v>
      </c>
    </row>
    <row r="109" spans="1:20" ht="13" x14ac:dyDescent="0.15">
      <c r="A109" s="35">
        <v>108</v>
      </c>
      <c r="B109" s="27">
        <v>40548</v>
      </c>
      <c r="C109" s="8" t="str">
        <f t="shared" si="2"/>
        <v>2011</v>
      </c>
      <c r="D109" s="8" t="str">
        <f t="shared" si="3"/>
        <v>05</v>
      </c>
      <c r="E109" s="7">
        <v>1</v>
      </c>
      <c r="F109" s="7">
        <v>0</v>
      </c>
      <c r="G109" s="7">
        <v>1</v>
      </c>
      <c r="H109" s="7">
        <v>16</v>
      </c>
      <c r="I109" s="7" t="b">
        <v>0</v>
      </c>
      <c r="J109" s="22">
        <f>--Table1[[#This Row],[HOLIDAY]]</f>
        <v>0</v>
      </c>
      <c r="K109" s="9">
        <v>3</v>
      </c>
      <c r="L109" s="7">
        <v>1</v>
      </c>
      <c r="M109" s="7">
        <f>LEN(TEXT(Table1[[#This Row],[WEATHER]],"0"))</f>
        <v>1</v>
      </c>
      <c r="N109" s="36">
        <v>0.3</v>
      </c>
      <c r="O109" s="37">
        <f>VLOOKUP(Table1[[#This Row],[INSTANT]],[1]dataset_2!$A:$G,2,FALSE)</f>
        <v>0.19700000000000001</v>
      </c>
      <c r="P109" s="37">
        <f>VLOOKUP(Table1[[#This Row],[INSTANT]],[1]dataset_2!$A:$G,3,0)</f>
        <v>0.64</v>
      </c>
      <c r="Q109" s="37">
        <f>VLOOKUP(Table1[[#This Row],[INSTANT]],[1]dataset_2!$A:$D,4,FALSE)</f>
        <v>8.9599999999999999E-2</v>
      </c>
      <c r="R109" s="37">
        <f>VLOOKUP(Table1[[#This Row],[INSTANT]],[1]dataset_2!$A:$G,5,0)</f>
        <v>0</v>
      </c>
      <c r="S109" s="38">
        <f>VLOOKUP(Table1[[#This Row],[INSTANT]],[1]dataset_2!$A:$G,6,0)</f>
        <v>1</v>
      </c>
      <c r="T109" s="38">
        <f>VLOOKUP(Table1[[#This Row],[INSTANT]],[1]dataset_2!$A:$G,7,0)</f>
        <v>1</v>
      </c>
    </row>
    <row r="110" spans="1:20" ht="13" x14ac:dyDescent="0.15">
      <c r="A110" s="35">
        <v>109</v>
      </c>
      <c r="B110" s="27">
        <v>40548</v>
      </c>
      <c r="C110" s="8" t="str">
        <f t="shared" si="2"/>
        <v>2011</v>
      </c>
      <c r="D110" s="8" t="str">
        <f t="shared" si="3"/>
        <v>05</v>
      </c>
      <c r="E110" s="7">
        <v>1</v>
      </c>
      <c r="F110" s="7">
        <v>0</v>
      </c>
      <c r="G110" s="7">
        <v>1</v>
      </c>
      <c r="H110" s="7">
        <v>17</v>
      </c>
      <c r="I110" s="7" t="b">
        <v>0</v>
      </c>
      <c r="J110" s="22">
        <f>--Table1[[#This Row],[HOLIDAY]]</f>
        <v>0</v>
      </c>
      <c r="K110" s="9">
        <v>3</v>
      </c>
      <c r="L110" s="7">
        <v>1</v>
      </c>
      <c r="M110" s="7">
        <f>LEN(TEXT(Table1[[#This Row],[WEATHER]],"0"))</f>
        <v>1</v>
      </c>
      <c r="N110" s="36">
        <v>0.24</v>
      </c>
      <c r="O110" s="37">
        <f>VLOOKUP(Table1[[#This Row],[INSTANT]],[1]dataset_2!$A:$G,2,FALSE)</f>
        <v>0.18179999999999999</v>
      </c>
      <c r="P110" s="37">
        <f>VLOOKUP(Table1[[#This Row],[INSTANT]],[1]dataset_2!$A:$G,3,0)</f>
        <v>0.69</v>
      </c>
      <c r="Q110" s="37">
        <f>VLOOKUP(Table1[[#This Row],[INSTANT]],[1]dataset_2!$A:$D,4,FALSE)</f>
        <v>8.9599999999999999E-2</v>
      </c>
      <c r="R110" s="37">
        <f>VLOOKUP(Table1[[#This Row],[INSTANT]],[1]dataset_2!$A:$G,5,0)</f>
        <v>0</v>
      </c>
      <c r="S110" s="38">
        <f>VLOOKUP(Table1[[#This Row],[INSTANT]],[1]dataset_2!$A:$G,6,0)</f>
        <v>4</v>
      </c>
      <c r="T110" s="38">
        <f>VLOOKUP(Table1[[#This Row],[INSTANT]],[1]dataset_2!$A:$G,7,0)</f>
        <v>4</v>
      </c>
    </row>
    <row r="111" spans="1:20" ht="13" x14ac:dyDescent="0.15">
      <c r="A111" s="35">
        <v>110</v>
      </c>
      <c r="B111" s="27">
        <v>40548</v>
      </c>
      <c r="C111" s="8" t="str">
        <f t="shared" si="2"/>
        <v>2011</v>
      </c>
      <c r="D111" s="8" t="str">
        <f t="shared" si="3"/>
        <v>05</v>
      </c>
      <c r="E111" s="7">
        <v>1</v>
      </c>
      <c r="F111" s="7">
        <v>0</v>
      </c>
      <c r="G111" s="7">
        <v>1</v>
      </c>
      <c r="H111" s="7">
        <v>18</v>
      </c>
      <c r="I111" s="7" t="b">
        <v>0</v>
      </c>
      <c r="J111" s="22">
        <f>--Table1[[#This Row],[HOLIDAY]]</f>
        <v>0</v>
      </c>
      <c r="K111" s="9">
        <v>3</v>
      </c>
      <c r="L111" s="7">
        <v>1</v>
      </c>
      <c r="M111" s="7">
        <f>LEN(TEXT(Table1[[#This Row],[WEATHER]],"0"))</f>
        <v>1</v>
      </c>
      <c r="N111" s="36">
        <v>0.24</v>
      </c>
      <c r="O111" s="37">
        <f>VLOOKUP(Table1[[#This Row],[INSTANT]],[1]dataset_2!$A:$G,2,FALSE)</f>
        <v>0.16669999999999999</v>
      </c>
      <c r="P111" s="37">
        <f>VLOOKUP(Table1[[#This Row],[INSTANT]],[1]dataset_2!$A:$G,3,0)</f>
        <v>0.63</v>
      </c>
      <c r="Q111" s="37">
        <f>VLOOKUP(Table1[[#This Row],[INSTANT]],[1]dataset_2!$A:$D,4,FALSE)</f>
        <v>0.1045</v>
      </c>
      <c r="R111" s="37">
        <f>VLOOKUP(Table1[[#This Row],[INSTANT]],[1]dataset_2!$A:$G,5,0)</f>
        <v>0</v>
      </c>
      <c r="S111" s="38">
        <f>VLOOKUP(Table1[[#This Row],[INSTANT]],[1]dataset_2!$A:$G,6,0)</f>
        <v>36</v>
      </c>
      <c r="T111" s="38">
        <f>VLOOKUP(Table1[[#This Row],[INSTANT]],[1]dataset_2!$A:$G,7,0)</f>
        <v>36</v>
      </c>
    </row>
    <row r="112" spans="1:20" ht="13" x14ac:dyDescent="0.15">
      <c r="A112" s="35">
        <v>111</v>
      </c>
      <c r="B112" s="27">
        <v>40548</v>
      </c>
      <c r="C112" s="8" t="str">
        <f t="shared" si="2"/>
        <v>2011</v>
      </c>
      <c r="D112" s="8" t="str">
        <f t="shared" si="3"/>
        <v>05</v>
      </c>
      <c r="E112" s="7">
        <v>1</v>
      </c>
      <c r="F112" s="7">
        <v>0</v>
      </c>
      <c r="G112" s="7">
        <v>1</v>
      </c>
      <c r="H112" s="7">
        <v>19</v>
      </c>
      <c r="I112" s="7" t="b">
        <v>0</v>
      </c>
      <c r="J112" s="22">
        <f>--Table1[[#This Row],[HOLIDAY]]</f>
        <v>0</v>
      </c>
      <c r="K112" s="9">
        <v>3</v>
      </c>
      <c r="L112" s="7">
        <v>1</v>
      </c>
      <c r="M112" s="7">
        <f>LEN(TEXT(Table1[[#This Row],[WEATHER]],"0"))</f>
        <v>1</v>
      </c>
      <c r="N112" s="36">
        <v>0.24</v>
      </c>
      <c r="O112" s="37">
        <f>VLOOKUP(Table1[[#This Row],[INSTANT]],[1]dataset_2!$A:$G,2,FALSE)</f>
        <v>0.2273</v>
      </c>
      <c r="P112" s="37">
        <f>VLOOKUP(Table1[[#This Row],[INSTANT]],[1]dataset_2!$A:$G,3,0)</f>
        <v>0.59</v>
      </c>
      <c r="Q112" s="37">
        <f>VLOOKUP(Table1[[#This Row],[INSTANT]],[1]dataset_2!$A:$D,4,FALSE)</f>
        <v>0</v>
      </c>
      <c r="R112" s="37">
        <f>VLOOKUP(Table1[[#This Row],[INSTANT]],[1]dataset_2!$A:$G,5,0)</f>
        <v>0</v>
      </c>
      <c r="S112" s="38">
        <f>VLOOKUP(Table1[[#This Row],[INSTANT]],[1]dataset_2!$A:$G,6,0)</f>
        <v>95</v>
      </c>
      <c r="T112" s="38">
        <f>VLOOKUP(Table1[[#This Row],[INSTANT]],[1]dataset_2!$A:$G,7,0)</f>
        <v>95</v>
      </c>
    </row>
    <row r="113" spans="1:20" ht="13" x14ac:dyDescent="0.15">
      <c r="A113" s="35">
        <v>112</v>
      </c>
      <c r="B113" s="27">
        <v>40548</v>
      </c>
      <c r="C113" s="8" t="str">
        <f t="shared" si="2"/>
        <v>2011</v>
      </c>
      <c r="D113" s="8" t="str">
        <f t="shared" si="3"/>
        <v>05</v>
      </c>
      <c r="E113" s="7">
        <v>1</v>
      </c>
      <c r="F113" s="7">
        <v>0</v>
      </c>
      <c r="G113" s="7">
        <v>1</v>
      </c>
      <c r="H113" s="7">
        <v>20</v>
      </c>
      <c r="I113" s="7" t="b">
        <v>0</v>
      </c>
      <c r="J113" s="22">
        <f>--Table1[[#This Row],[HOLIDAY]]</f>
        <v>0</v>
      </c>
      <c r="K113" s="9">
        <v>3</v>
      </c>
      <c r="L113" s="7">
        <v>1</v>
      </c>
      <c r="M113" s="7">
        <f>LEN(TEXT(Table1[[#This Row],[WEATHER]],"0"))</f>
        <v>1</v>
      </c>
      <c r="N113" s="36">
        <v>0.22</v>
      </c>
      <c r="O113" s="37">
        <f>VLOOKUP(Table1[[#This Row],[INSTANT]],[1]dataset_2!$A:$G,2,FALSE)</f>
        <v>0.2273</v>
      </c>
      <c r="P113" s="37">
        <f>VLOOKUP(Table1[[#This Row],[INSTANT]],[1]dataset_2!$A:$G,3,0)</f>
        <v>0.59</v>
      </c>
      <c r="Q113" s="37">
        <f>VLOOKUP(Table1[[#This Row],[INSTANT]],[1]dataset_2!$A:$D,4,FALSE)</f>
        <v>0</v>
      </c>
      <c r="R113" s="37">
        <f>VLOOKUP(Table1[[#This Row],[INSTANT]],[1]dataset_2!$A:$G,5,0)</f>
        <v>3</v>
      </c>
      <c r="S113" s="38">
        <f>VLOOKUP(Table1[[#This Row],[INSTANT]],[1]dataset_2!$A:$G,6,0)</f>
        <v>216</v>
      </c>
      <c r="T113" s="38">
        <f>VLOOKUP(Table1[[#This Row],[INSTANT]],[1]dataset_2!$A:$G,7,0)</f>
        <v>219</v>
      </c>
    </row>
    <row r="114" spans="1:20" ht="13" x14ac:dyDescent="0.15">
      <c r="A114" s="35">
        <v>113</v>
      </c>
      <c r="B114" s="27">
        <v>40548</v>
      </c>
      <c r="C114" s="8" t="str">
        <f t="shared" si="2"/>
        <v>2011</v>
      </c>
      <c r="D114" s="8" t="str">
        <f t="shared" si="3"/>
        <v>05</v>
      </c>
      <c r="E114" s="7">
        <v>1</v>
      </c>
      <c r="F114" s="7">
        <v>0</v>
      </c>
      <c r="G114" s="7">
        <v>1</v>
      </c>
      <c r="H114" s="7">
        <v>21</v>
      </c>
      <c r="I114" s="7" t="b">
        <v>0</v>
      </c>
      <c r="J114" s="22">
        <f>--Table1[[#This Row],[HOLIDAY]]</f>
        <v>0</v>
      </c>
      <c r="K114" s="9">
        <v>3</v>
      </c>
      <c r="L114" s="7">
        <v>1</v>
      </c>
      <c r="M114" s="7">
        <f>LEN(TEXT(Table1[[#This Row],[WEATHER]],"0"))</f>
        <v>1</v>
      </c>
      <c r="N114" s="36">
        <v>0.2</v>
      </c>
      <c r="O114" s="37">
        <f>VLOOKUP(Table1[[#This Row],[INSTANT]],[1]dataset_2!$A:$G,2,FALSE)</f>
        <v>0.2424</v>
      </c>
      <c r="P114" s="37">
        <f>VLOOKUP(Table1[[#This Row],[INSTANT]],[1]dataset_2!$A:$G,3,0)</f>
        <v>0.51</v>
      </c>
      <c r="Q114" s="37">
        <f>VLOOKUP(Table1[[#This Row],[INSTANT]],[1]dataset_2!$A:$D,4,FALSE)</f>
        <v>0</v>
      </c>
      <c r="R114" s="37">
        <f>VLOOKUP(Table1[[#This Row],[INSTANT]],[1]dataset_2!$A:$G,5,0)</f>
        <v>6</v>
      </c>
      <c r="S114" s="38">
        <f>VLOOKUP(Table1[[#This Row],[INSTANT]],[1]dataset_2!$A:$G,6,0)</f>
        <v>116</v>
      </c>
      <c r="T114" s="38">
        <f>VLOOKUP(Table1[[#This Row],[INSTANT]],[1]dataset_2!$A:$G,7,0)</f>
        <v>122</v>
      </c>
    </row>
    <row r="115" spans="1:20" ht="13" x14ac:dyDescent="0.15">
      <c r="A115" s="35">
        <v>114</v>
      </c>
      <c r="B115" s="27">
        <v>40548</v>
      </c>
      <c r="C115" s="8" t="str">
        <f t="shared" si="2"/>
        <v>2011</v>
      </c>
      <c r="D115" s="8" t="str">
        <f t="shared" si="3"/>
        <v>05</v>
      </c>
      <c r="E115" s="7">
        <v>1</v>
      </c>
      <c r="F115" s="7">
        <v>0</v>
      </c>
      <c r="G115" s="7">
        <v>1</v>
      </c>
      <c r="H115" s="7">
        <v>22</v>
      </c>
      <c r="I115" s="7" t="b">
        <v>0</v>
      </c>
      <c r="J115" s="22">
        <f>--Table1[[#This Row],[HOLIDAY]]</f>
        <v>0</v>
      </c>
      <c r="K115" s="9">
        <v>3</v>
      </c>
      <c r="L115" s="7">
        <v>1</v>
      </c>
      <c r="M115" s="7">
        <f>LEN(TEXT(Table1[[#This Row],[WEATHER]],"0"))</f>
        <v>1</v>
      </c>
      <c r="N115" s="36">
        <v>0.18</v>
      </c>
      <c r="O115" s="37">
        <f>VLOOKUP(Table1[[#This Row],[INSTANT]],[1]dataset_2!$A:$G,2,FALSE)</f>
        <v>0.2576</v>
      </c>
      <c r="P115" s="37">
        <f>VLOOKUP(Table1[[#This Row],[INSTANT]],[1]dataset_2!$A:$G,3,0)</f>
        <v>0.47</v>
      </c>
      <c r="Q115" s="37">
        <f>VLOOKUP(Table1[[#This Row],[INSTANT]],[1]dataset_2!$A:$D,4,FALSE)</f>
        <v>0</v>
      </c>
      <c r="R115" s="37">
        <f>VLOOKUP(Table1[[#This Row],[INSTANT]],[1]dataset_2!$A:$G,5,0)</f>
        <v>3</v>
      </c>
      <c r="S115" s="38">
        <f>VLOOKUP(Table1[[#This Row],[INSTANT]],[1]dataset_2!$A:$G,6,0)</f>
        <v>42</v>
      </c>
      <c r="T115" s="38">
        <f>VLOOKUP(Table1[[#This Row],[INSTANT]],[1]dataset_2!$A:$G,7,0)</f>
        <v>45</v>
      </c>
    </row>
    <row r="116" spans="1:20" ht="13" x14ac:dyDescent="0.15">
      <c r="A116" s="35">
        <v>115</v>
      </c>
      <c r="B116" s="27">
        <v>40548</v>
      </c>
      <c r="C116" s="8" t="str">
        <f t="shared" si="2"/>
        <v>2011</v>
      </c>
      <c r="D116" s="8" t="str">
        <f t="shared" si="3"/>
        <v>05</v>
      </c>
      <c r="E116" s="7">
        <v>1</v>
      </c>
      <c r="F116" s="7">
        <v>0</v>
      </c>
      <c r="G116" s="7">
        <v>1</v>
      </c>
      <c r="H116" s="7">
        <v>23</v>
      </c>
      <c r="I116" s="7" t="b">
        <v>0</v>
      </c>
      <c r="J116" s="22">
        <f>--Table1[[#This Row],[HOLIDAY]]</f>
        <v>0</v>
      </c>
      <c r="K116" s="9">
        <v>3</v>
      </c>
      <c r="L116" s="7">
        <v>1</v>
      </c>
      <c r="M116" s="7">
        <f>LEN(TEXT(Table1[[#This Row],[WEATHER]],"0"))</f>
        <v>1</v>
      </c>
      <c r="N116" s="36">
        <v>0.2</v>
      </c>
      <c r="O116" s="37">
        <f>VLOOKUP(Table1[[#This Row],[INSTANT]],[1]dataset_2!$A:$G,2,FALSE)</f>
        <v>0.2576</v>
      </c>
      <c r="P116" s="37">
        <f>VLOOKUP(Table1[[#This Row],[INSTANT]],[1]dataset_2!$A:$G,3,0)</f>
        <v>0.44</v>
      </c>
      <c r="Q116" s="37">
        <f>VLOOKUP(Table1[[#This Row],[INSTANT]],[1]dataset_2!$A:$D,4,FALSE)</f>
        <v>8.9599999999999999E-2</v>
      </c>
      <c r="R116" s="37">
        <f>VLOOKUP(Table1[[#This Row],[INSTANT]],[1]dataset_2!$A:$G,5,0)</f>
        <v>2</v>
      </c>
      <c r="S116" s="38">
        <f>VLOOKUP(Table1[[#This Row],[INSTANT]],[1]dataset_2!$A:$G,6,0)</f>
        <v>57</v>
      </c>
      <c r="T116" s="38">
        <f>VLOOKUP(Table1[[#This Row],[INSTANT]],[1]dataset_2!$A:$G,7,0)</f>
        <v>59</v>
      </c>
    </row>
    <row r="117" spans="1:20" ht="13" x14ac:dyDescent="0.15">
      <c r="A117" s="35">
        <v>116</v>
      </c>
      <c r="B117" s="27">
        <v>40549</v>
      </c>
      <c r="C117" s="8" t="str">
        <f t="shared" si="2"/>
        <v>2011</v>
      </c>
      <c r="D117" s="8" t="str">
        <f t="shared" si="3"/>
        <v>06</v>
      </c>
      <c r="E117" s="7">
        <v>1</v>
      </c>
      <c r="F117" s="7">
        <v>0</v>
      </c>
      <c r="G117" s="7">
        <v>1</v>
      </c>
      <c r="H117" s="7">
        <v>0</v>
      </c>
      <c r="I117" s="7" t="b">
        <v>0</v>
      </c>
      <c r="J117" s="22">
        <f>--Table1[[#This Row],[HOLIDAY]]</f>
        <v>0</v>
      </c>
      <c r="K117" s="9">
        <v>4</v>
      </c>
      <c r="L117" s="7">
        <v>1</v>
      </c>
      <c r="M117" s="7">
        <f>LEN(TEXT(Table1[[#This Row],[WEATHER]],"0"))</f>
        <v>1</v>
      </c>
      <c r="N117" s="36">
        <v>0.18</v>
      </c>
      <c r="O117" s="37">
        <f>VLOOKUP(Table1[[#This Row],[INSTANT]],[1]dataset_2!$A:$G,2,FALSE)</f>
        <v>0.28789999999999999</v>
      </c>
      <c r="P117" s="37">
        <f>VLOOKUP(Table1[[#This Row],[INSTANT]],[1]dataset_2!$A:$G,3,0)</f>
        <v>0.35</v>
      </c>
      <c r="Q117" s="37">
        <f>VLOOKUP(Table1[[#This Row],[INSTANT]],[1]dataset_2!$A:$D,4,FALSE)</f>
        <v>0</v>
      </c>
      <c r="R117" s="37">
        <f>VLOOKUP(Table1[[#This Row],[INSTANT]],[1]dataset_2!$A:$G,5,0)</f>
        <v>6</v>
      </c>
      <c r="S117" s="38">
        <f>VLOOKUP(Table1[[#This Row],[INSTANT]],[1]dataset_2!$A:$G,6,0)</f>
        <v>78</v>
      </c>
      <c r="T117" s="38">
        <f>VLOOKUP(Table1[[#This Row],[INSTANT]],[1]dataset_2!$A:$G,7,0)</f>
        <v>84</v>
      </c>
    </row>
    <row r="118" spans="1:20" ht="13" x14ac:dyDescent="0.15">
      <c r="A118" s="35">
        <v>117</v>
      </c>
      <c r="B118" s="27">
        <v>40549</v>
      </c>
      <c r="C118" s="8" t="str">
        <f t="shared" si="2"/>
        <v>2011</v>
      </c>
      <c r="D118" s="8" t="str">
        <f t="shared" si="3"/>
        <v>06</v>
      </c>
      <c r="E118" s="7">
        <v>1</v>
      </c>
      <c r="F118" s="7">
        <v>0</v>
      </c>
      <c r="G118" s="7">
        <v>1</v>
      </c>
      <c r="H118" s="7">
        <v>1</v>
      </c>
      <c r="I118" s="7" t="b">
        <v>0</v>
      </c>
      <c r="J118" s="22">
        <f>--Table1[[#This Row],[HOLIDAY]]</f>
        <v>0</v>
      </c>
      <c r="K118" s="9">
        <v>4</v>
      </c>
      <c r="L118" s="7">
        <v>1</v>
      </c>
      <c r="M118" s="7">
        <f>LEN(TEXT(Table1[[#This Row],[WEATHER]],"0"))</f>
        <v>1</v>
      </c>
      <c r="N118" s="36">
        <v>0.16</v>
      </c>
      <c r="O118" s="37">
        <f>VLOOKUP(Table1[[#This Row],[INSTANT]],[1]dataset_2!$A:$G,2,FALSE)</f>
        <v>0.2727</v>
      </c>
      <c r="P118" s="37">
        <f>VLOOKUP(Table1[[#This Row],[INSTANT]],[1]dataset_2!$A:$G,3,0)</f>
        <v>0.35</v>
      </c>
      <c r="Q118" s="37">
        <f>VLOOKUP(Table1[[#This Row],[INSTANT]],[1]dataset_2!$A:$D,4,FALSE)</f>
        <v>0.1045</v>
      </c>
      <c r="R118" s="37">
        <f>VLOOKUP(Table1[[#This Row],[INSTANT]],[1]dataset_2!$A:$G,5,0)</f>
        <v>12</v>
      </c>
      <c r="S118" s="38">
        <f>VLOOKUP(Table1[[#This Row],[INSTANT]],[1]dataset_2!$A:$G,6,0)</f>
        <v>55</v>
      </c>
      <c r="T118" s="38">
        <f>VLOOKUP(Table1[[#This Row],[INSTANT]],[1]dataset_2!$A:$G,7,0)</f>
        <v>67</v>
      </c>
    </row>
    <row r="119" spans="1:20" ht="13" x14ac:dyDescent="0.15">
      <c r="A119" s="35">
        <v>118</v>
      </c>
      <c r="B119" s="27">
        <v>40549</v>
      </c>
      <c r="C119" s="8" t="str">
        <f t="shared" si="2"/>
        <v>2011</v>
      </c>
      <c r="D119" s="8" t="str">
        <f t="shared" si="3"/>
        <v>06</v>
      </c>
      <c r="E119" s="7">
        <v>1</v>
      </c>
      <c r="F119" s="7">
        <v>0</v>
      </c>
      <c r="G119" s="7">
        <v>1</v>
      </c>
      <c r="H119" s="7">
        <v>2</v>
      </c>
      <c r="I119" s="7" t="b">
        <v>0</v>
      </c>
      <c r="J119" s="22">
        <f>--Table1[[#This Row],[HOLIDAY]]</f>
        <v>0</v>
      </c>
      <c r="K119" s="9">
        <v>4</v>
      </c>
      <c r="L119" s="7">
        <v>1</v>
      </c>
      <c r="M119" s="7">
        <f>LEN(TEXT(Table1[[#This Row],[WEATHER]],"0"))</f>
        <v>1</v>
      </c>
      <c r="N119" s="36">
        <v>0.16</v>
      </c>
      <c r="O119" s="37">
        <f>VLOOKUP(Table1[[#This Row],[INSTANT]],[1]dataset_2!$A:$G,2,FALSE)</f>
        <v>0.2727</v>
      </c>
      <c r="P119" s="37">
        <f>VLOOKUP(Table1[[#This Row],[INSTANT]],[1]dataset_2!$A:$G,3,0)</f>
        <v>0.36</v>
      </c>
      <c r="Q119" s="37">
        <f>VLOOKUP(Table1[[#This Row],[INSTANT]],[1]dataset_2!$A:$D,4,FALSE)</f>
        <v>0.16420000000000001</v>
      </c>
      <c r="R119" s="37">
        <f>VLOOKUP(Table1[[#This Row],[INSTANT]],[1]dataset_2!$A:$G,5,0)</f>
        <v>11</v>
      </c>
      <c r="S119" s="38">
        <f>VLOOKUP(Table1[[#This Row],[INSTANT]],[1]dataset_2!$A:$G,6,0)</f>
        <v>59</v>
      </c>
      <c r="T119" s="38">
        <f>VLOOKUP(Table1[[#This Row],[INSTANT]],[1]dataset_2!$A:$G,7,0)</f>
        <v>70</v>
      </c>
    </row>
    <row r="120" spans="1:20" ht="13" x14ac:dyDescent="0.15">
      <c r="A120" s="35">
        <v>119</v>
      </c>
      <c r="B120" s="27">
        <v>40549</v>
      </c>
      <c r="C120" s="8" t="str">
        <f t="shared" si="2"/>
        <v>2011</v>
      </c>
      <c r="D120" s="8" t="str">
        <f t="shared" si="3"/>
        <v>06</v>
      </c>
      <c r="E120" s="7">
        <v>1</v>
      </c>
      <c r="F120" s="7">
        <v>0</v>
      </c>
      <c r="G120" s="7">
        <v>1</v>
      </c>
      <c r="H120" s="7">
        <v>4</v>
      </c>
      <c r="I120" s="7" t="b">
        <v>0</v>
      </c>
      <c r="J120" s="22">
        <f>--Table1[[#This Row],[HOLIDAY]]</f>
        <v>0</v>
      </c>
      <c r="K120" s="9">
        <v>4</v>
      </c>
      <c r="L120" s="7">
        <v>2</v>
      </c>
      <c r="M120" s="7">
        <f>LEN(TEXT(Table1[[#This Row],[WEATHER]],"0"))</f>
        <v>1</v>
      </c>
      <c r="N120" s="36">
        <v>0.16</v>
      </c>
      <c r="O120" s="37">
        <f>VLOOKUP(Table1[[#This Row],[INSTANT]],[1]dataset_2!$A:$G,2,FALSE)</f>
        <v>0.2727</v>
      </c>
      <c r="P120" s="37">
        <f>VLOOKUP(Table1[[#This Row],[INSTANT]],[1]dataset_2!$A:$G,3,0)</f>
        <v>0.36</v>
      </c>
      <c r="Q120" s="37">
        <f>VLOOKUP(Table1[[#This Row],[INSTANT]],[1]dataset_2!$A:$D,4,FALSE)</f>
        <v>0</v>
      </c>
      <c r="R120" s="37">
        <f>VLOOKUP(Table1[[#This Row],[INSTANT]],[1]dataset_2!$A:$G,5,0)</f>
        <v>8</v>
      </c>
      <c r="S120" s="38">
        <f>VLOOKUP(Table1[[#This Row],[INSTANT]],[1]dataset_2!$A:$G,6,0)</f>
        <v>54</v>
      </c>
      <c r="T120" s="38">
        <f>VLOOKUP(Table1[[#This Row],[INSTANT]],[1]dataset_2!$A:$G,7,0)</f>
        <v>62</v>
      </c>
    </row>
    <row r="121" spans="1:20" ht="13" x14ac:dyDescent="0.15">
      <c r="A121" s="35">
        <v>120</v>
      </c>
      <c r="B121" s="27">
        <v>40549</v>
      </c>
      <c r="C121" s="8" t="str">
        <f t="shared" si="2"/>
        <v>2011</v>
      </c>
      <c r="D121" s="8" t="str">
        <f t="shared" si="3"/>
        <v>06</v>
      </c>
      <c r="E121" s="7">
        <v>1</v>
      </c>
      <c r="F121" s="7">
        <v>0</v>
      </c>
      <c r="G121" s="7">
        <v>1</v>
      </c>
      <c r="H121" s="7">
        <v>5</v>
      </c>
      <c r="I121" s="7" t="b">
        <v>0</v>
      </c>
      <c r="J121" s="22">
        <f>--Table1[[#This Row],[HOLIDAY]]</f>
        <v>0</v>
      </c>
      <c r="K121" s="9">
        <v>4</v>
      </c>
      <c r="L121" s="7">
        <v>2</v>
      </c>
      <c r="M121" s="7">
        <f>LEN(TEXT(Table1[[#This Row],[WEATHER]],"0"))</f>
        <v>1</v>
      </c>
      <c r="N121" s="36">
        <v>0.14000000000000001</v>
      </c>
      <c r="O121" s="37">
        <f>VLOOKUP(Table1[[#This Row],[INSTANT]],[1]dataset_2!$A:$G,2,FALSE)</f>
        <v>0.2576</v>
      </c>
      <c r="P121" s="37">
        <f>VLOOKUP(Table1[[#This Row],[INSTANT]],[1]dataset_2!$A:$G,3,0)</f>
        <v>0.38</v>
      </c>
      <c r="Q121" s="37">
        <f>VLOOKUP(Table1[[#This Row],[INSTANT]],[1]dataset_2!$A:$D,4,FALSE)</f>
        <v>0.16420000000000001</v>
      </c>
      <c r="R121" s="37">
        <f>VLOOKUP(Table1[[#This Row],[INSTANT]],[1]dataset_2!$A:$G,5,0)</f>
        <v>12</v>
      </c>
      <c r="S121" s="38">
        <f>VLOOKUP(Table1[[#This Row],[INSTANT]],[1]dataset_2!$A:$G,6,0)</f>
        <v>74</v>
      </c>
      <c r="T121" s="38">
        <f>VLOOKUP(Table1[[#This Row],[INSTANT]],[1]dataset_2!$A:$G,7,0)</f>
        <v>86</v>
      </c>
    </row>
    <row r="122" spans="1:20" ht="13" x14ac:dyDescent="0.15">
      <c r="A122" s="35">
        <v>121</v>
      </c>
      <c r="B122" s="27">
        <v>40549</v>
      </c>
      <c r="C122" s="8" t="str">
        <f t="shared" si="2"/>
        <v>2011</v>
      </c>
      <c r="D122" s="8" t="str">
        <f t="shared" si="3"/>
        <v>06</v>
      </c>
      <c r="E122" s="7">
        <v>1</v>
      </c>
      <c r="F122" s="7">
        <v>0</v>
      </c>
      <c r="G122" s="7">
        <v>1</v>
      </c>
      <c r="H122" s="7">
        <v>6</v>
      </c>
      <c r="I122" s="7" t="b">
        <v>0</v>
      </c>
      <c r="J122" s="22">
        <f>--Table1[[#This Row],[HOLIDAY]]</f>
        <v>0</v>
      </c>
      <c r="K122" s="9">
        <v>4</v>
      </c>
      <c r="L122" s="7">
        <v>2</v>
      </c>
      <c r="M122" s="7">
        <f>LEN(TEXT(Table1[[#This Row],[WEATHER]],"0"))</f>
        <v>1</v>
      </c>
      <c r="N122" s="36">
        <v>0.14000000000000001</v>
      </c>
      <c r="O122" s="37">
        <f>VLOOKUP(Table1[[#This Row],[INSTANT]],[1]dataset_2!$A:$G,2,FALSE)</f>
        <v>0.2273</v>
      </c>
      <c r="P122" s="37">
        <f>VLOOKUP(Table1[[#This Row],[INSTANT]],[1]dataset_2!$A:$G,3,0)</f>
        <v>0.51</v>
      </c>
      <c r="Q122" s="37">
        <f>VLOOKUP(Table1[[#This Row],[INSTANT]],[1]dataset_2!$A:$D,4,FALSE)</f>
        <v>0.16420000000000001</v>
      </c>
      <c r="R122" s="37">
        <f>VLOOKUP(Table1[[#This Row],[INSTANT]],[1]dataset_2!$A:$G,5,0)</f>
        <v>9</v>
      </c>
      <c r="S122" s="38">
        <f>VLOOKUP(Table1[[#This Row],[INSTANT]],[1]dataset_2!$A:$G,6,0)</f>
        <v>163</v>
      </c>
      <c r="T122" s="38">
        <f>VLOOKUP(Table1[[#This Row],[INSTANT]],[1]dataset_2!$A:$G,7,0)</f>
        <v>172</v>
      </c>
    </row>
    <row r="123" spans="1:20" ht="13" x14ac:dyDescent="0.15">
      <c r="A123" s="35">
        <v>122</v>
      </c>
      <c r="B123" s="27">
        <v>40549</v>
      </c>
      <c r="C123" s="8" t="str">
        <f t="shared" si="2"/>
        <v>2011</v>
      </c>
      <c r="D123" s="8" t="str">
        <f t="shared" si="3"/>
        <v>06</v>
      </c>
      <c r="E123" s="7">
        <v>1</v>
      </c>
      <c r="F123" s="7">
        <v>0</v>
      </c>
      <c r="G123" s="7">
        <v>1</v>
      </c>
      <c r="H123" s="7">
        <v>7</v>
      </c>
      <c r="I123" s="7" t="b">
        <v>0</v>
      </c>
      <c r="J123" s="22">
        <f>--Table1[[#This Row],[HOLIDAY]]</f>
        <v>0</v>
      </c>
      <c r="K123" s="9">
        <v>4</v>
      </c>
      <c r="L123" s="7">
        <v>2</v>
      </c>
      <c r="M123" s="7">
        <f>LEN(TEXT(Table1[[#This Row],[WEATHER]],"0"))</f>
        <v>1</v>
      </c>
      <c r="N123" s="36">
        <v>0.16</v>
      </c>
      <c r="O123" s="37">
        <f>VLOOKUP(Table1[[#This Row],[INSTANT]],[1]dataset_2!$A:$G,2,FALSE)</f>
        <v>0.2273</v>
      </c>
      <c r="P123" s="37">
        <f>VLOOKUP(Table1[[#This Row],[INSTANT]],[1]dataset_2!$A:$G,3,0)</f>
        <v>0.51</v>
      </c>
      <c r="Q123" s="37">
        <f>VLOOKUP(Table1[[#This Row],[INSTANT]],[1]dataset_2!$A:$D,4,FALSE)</f>
        <v>0.1343</v>
      </c>
      <c r="R123" s="37">
        <f>VLOOKUP(Table1[[#This Row],[INSTANT]],[1]dataset_2!$A:$G,5,0)</f>
        <v>5</v>
      </c>
      <c r="S123" s="38">
        <f>VLOOKUP(Table1[[#This Row],[INSTANT]],[1]dataset_2!$A:$G,6,0)</f>
        <v>158</v>
      </c>
      <c r="T123" s="38">
        <f>VLOOKUP(Table1[[#This Row],[INSTANT]],[1]dataset_2!$A:$G,7,0)</f>
        <v>163</v>
      </c>
    </row>
    <row r="124" spans="1:20" ht="13" x14ac:dyDescent="0.15">
      <c r="A124" s="35">
        <v>123</v>
      </c>
      <c r="B124" s="27">
        <v>40549</v>
      </c>
      <c r="C124" s="8" t="str">
        <f t="shared" si="2"/>
        <v>2011</v>
      </c>
      <c r="D124" s="8" t="str">
        <f t="shared" si="3"/>
        <v>06</v>
      </c>
      <c r="E124" s="7">
        <v>1</v>
      </c>
      <c r="F124" s="7">
        <v>0</v>
      </c>
      <c r="G124" s="7">
        <v>1</v>
      </c>
      <c r="H124" s="7">
        <v>8</v>
      </c>
      <c r="I124" s="7" t="b">
        <v>0</v>
      </c>
      <c r="J124" s="22">
        <f>--Table1[[#This Row],[HOLIDAY]]</f>
        <v>0</v>
      </c>
      <c r="K124" s="9">
        <v>4</v>
      </c>
      <c r="L124" s="7">
        <v>1</v>
      </c>
      <c r="M124" s="7">
        <f>LEN(TEXT(Table1[[#This Row],[WEATHER]],"0"))</f>
        <v>1</v>
      </c>
      <c r="N124" s="36">
        <v>0.16</v>
      </c>
      <c r="O124" s="37">
        <f>VLOOKUP(Table1[[#This Row],[INSTANT]],[1]dataset_2!$A:$G,2,FALSE)</f>
        <v>0.2576</v>
      </c>
      <c r="P124" s="37">
        <f>VLOOKUP(Table1[[#This Row],[INSTANT]],[1]dataset_2!$A:$G,3,0)</f>
        <v>0.55000000000000004</v>
      </c>
      <c r="Q124" s="37">
        <f>VLOOKUP(Table1[[#This Row],[INSTANT]],[1]dataset_2!$A:$D,4,FALSE)</f>
        <v>8.9599999999999999E-2</v>
      </c>
      <c r="R124" s="37">
        <f>VLOOKUP(Table1[[#This Row],[INSTANT]],[1]dataset_2!$A:$G,5,0)</f>
        <v>3</v>
      </c>
      <c r="S124" s="38">
        <f>VLOOKUP(Table1[[#This Row],[INSTANT]],[1]dataset_2!$A:$G,6,0)</f>
        <v>109</v>
      </c>
      <c r="T124" s="38">
        <f>VLOOKUP(Table1[[#This Row],[INSTANT]],[1]dataset_2!$A:$G,7,0)</f>
        <v>112</v>
      </c>
    </row>
    <row r="125" spans="1:20" ht="13" x14ac:dyDescent="0.15">
      <c r="A125" s="35">
        <v>124</v>
      </c>
      <c r="B125" s="27">
        <v>40549</v>
      </c>
      <c r="C125" s="8" t="str">
        <f t="shared" si="2"/>
        <v>2011</v>
      </c>
      <c r="D125" s="8" t="str">
        <f t="shared" si="3"/>
        <v>06</v>
      </c>
      <c r="E125" s="7">
        <v>1</v>
      </c>
      <c r="F125" s="7">
        <v>0</v>
      </c>
      <c r="G125" s="7">
        <v>1</v>
      </c>
      <c r="H125" s="7">
        <v>9</v>
      </c>
      <c r="I125" s="7" t="b">
        <v>0</v>
      </c>
      <c r="J125" s="22">
        <f>--Table1[[#This Row],[HOLIDAY]]</f>
        <v>0</v>
      </c>
      <c r="K125" s="9">
        <v>4</v>
      </c>
      <c r="L125" s="7">
        <v>2</v>
      </c>
      <c r="M125" s="7">
        <f>LEN(TEXT(Table1[[#This Row],[WEATHER]],"0"))</f>
        <v>1</v>
      </c>
      <c r="N125" s="36">
        <v>0.18</v>
      </c>
      <c r="O125" s="37">
        <f>VLOOKUP(Table1[[#This Row],[INSTANT]],[1]dataset_2!$A:$G,2,FALSE)</f>
        <v>0.21210000000000001</v>
      </c>
      <c r="P125" s="37">
        <f>VLOOKUP(Table1[[#This Row],[INSTANT]],[1]dataset_2!$A:$G,3,0)</f>
        <v>0.51</v>
      </c>
      <c r="Q125" s="37">
        <f>VLOOKUP(Table1[[#This Row],[INSTANT]],[1]dataset_2!$A:$D,4,FALSE)</f>
        <v>0.16420000000000001</v>
      </c>
      <c r="R125" s="37">
        <f>VLOOKUP(Table1[[#This Row],[INSTANT]],[1]dataset_2!$A:$G,5,0)</f>
        <v>3</v>
      </c>
      <c r="S125" s="38">
        <f>VLOOKUP(Table1[[#This Row],[INSTANT]],[1]dataset_2!$A:$G,6,0)</f>
        <v>66</v>
      </c>
      <c r="T125" s="38">
        <f>VLOOKUP(Table1[[#This Row],[INSTANT]],[1]dataset_2!$A:$G,7,0)</f>
        <v>69</v>
      </c>
    </row>
    <row r="126" spans="1:20" ht="13" x14ac:dyDescent="0.15">
      <c r="A126" s="35">
        <v>125</v>
      </c>
      <c r="B126" s="27">
        <v>40549</v>
      </c>
      <c r="C126" s="8" t="str">
        <f t="shared" si="2"/>
        <v>2011</v>
      </c>
      <c r="D126" s="8" t="str">
        <f t="shared" si="3"/>
        <v>06</v>
      </c>
      <c r="E126" s="7">
        <v>1</v>
      </c>
      <c r="F126" s="7">
        <v>0</v>
      </c>
      <c r="G126" s="7">
        <v>1</v>
      </c>
      <c r="H126" s="7">
        <v>10</v>
      </c>
      <c r="I126" s="7" t="b">
        <v>0</v>
      </c>
      <c r="J126" s="22">
        <f>--Table1[[#This Row],[HOLIDAY]]</f>
        <v>0</v>
      </c>
      <c r="K126" s="9">
        <v>4</v>
      </c>
      <c r="L126" s="7">
        <v>1</v>
      </c>
      <c r="M126" s="7">
        <f>LEN(TEXT(Table1[[#This Row],[WEATHER]],"0"))</f>
        <v>1</v>
      </c>
      <c r="N126" s="36">
        <v>0.2</v>
      </c>
      <c r="O126" s="37">
        <f>VLOOKUP(Table1[[#This Row],[INSTANT]],[1]dataset_2!$A:$G,2,FALSE)</f>
        <v>0.21210000000000001</v>
      </c>
      <c r="P126" s="37">
        <f>VLOOKUP(Table1[[#This Row],[INSTANT]],[1]dataset_2!$A:$G,3,0)</f>
        <v>0.55000000000000004</v>
      </c>
      <c r="Q126" s="37">
        <f>VLOOKUP(Table1[[#This Row],[INSTANT]],[1]dataset_2!$A:$D,4,FALSE)</f>
        <v>0.22389999999999999</v>
      </c>
      <c r="R126" s="37">
        <f>VLOOKUP(Table1[[#This Row],[INSTANT]],[1]dataset_2!$A:$G,5,0)</f>
        <v>0</v>
      </c>
      <c r="S126" s="38">
        <f>VLOOKUP(Table1[[#This Row],[INSTANT]],[1]dataset_2!$A:$G,6,0)</f>
        <v>48</v>
      </c>
      <c r="T126" s="38">
        <f>VLOOKUP(Table1[[#This Row],[INSTANT]],[1]dataset_2!$A:$G,7,0)</f>
        <v>48</v>
      </c>
    </row>
    <row r="127" spans="1:20" ht="13" x14ac:dyDescent="0.15">
      <c r="A127" s="35">
        <v>126</v>
      </c>
      <c r="B127" s="27">
        <v>40549</v>
      </c>
      <c r="C127" s="8" t="str">
        <f t="shared" si="2"/>
        <v>2011</v>
      </c>
      <c r="D127" s="8" t="str">
        <f t="shared" si="3"/>
        <v>06</v>
      </c>
      <c r="E127" s="7">
        <v>1</v>
      </c>
      <c r="F127" s="7">
        <v>0</v>
      </c>
      <c r="G127" s="7">
        <v>1</v>
      </c>
      <c r="H127" s="7">
        <v>11</v>
      </c>
      <c r="I127" s="7" t="b">
        <v>0</v>
      </c>
      <c r="J127" s="22">
        <f>--Table1[[#This Row],[HOLIDAY]]</f>
        <v>0</v>
      </c>
      <c r="K127" s="9">
        <v>4</v>
      </c>
      <c r="L127" s="7">
        <v>1</v>
      </c>
      <c r="M127" s="7">
        <f>LEN(TEXT(Table1[[#This Row],[WEATHER]],"0"))</f>
        <v>1</v>
      </c>
      <c r="N127" s="36">
        <v>0.22</v>
      </c>
      <c r="O127" s="37">
        <f>VLOOKUP(Table1[[#This Row],[INSTANT]],[1]dataset_2!$A:$G,2,FALSE)</f>
        <v>0.21210000000000001</v>
      </c>
      <c r="P127" s="37">
        <f>VLOOKUP(Table1[[#This Row],[INSTANT]],[1]dataset_2!$A:$G,3,0)</f>
        <v>0.51</v>
      </c>
      <c r="Q127" s="37">
        <f>VLOOKUP(Table1[[#This Row],[INSTANT]],[1]dataset_2!$A:$D,4,FALSE)</f>
        <v>0.28360000000000002</v>
      </c>
      <c r="R127" s="37">
        <f>VLOOKUP(Table1[[#This Row],[INSTANT]],[1]dataset_2!$A:$G,5,0)</f>
        <v>1</v>
      </c>
      <c r="S127" s="38">
        <f>VLOOKUP(Table1[[#This Row],[INSTANT]],[1]dataset_2!$A:$G,6,0)</f>
        <v>51</v>
      </c>
      <c r="T127" s="38">
        <f>VLOOKUP(Table1[[#This Row],[INSTANT]],[1]dataset_2!$A:$G,7,0)</f>
        <v>52</v>
      </c>
    </row>
    <row r="128" spans="1:20" ht="13" x14ac:dyDescent="0.15">
      <c r="A128" s="35">
        <v>127</v>
      </c>
      <c r="B128" s="27">
        <v>40549</v>
      </c>
      <c r="C128" s="8" t="str">
        <f t="shared" si="2"/>
        <v>2011</v>
      </c>
      <c r="D128" s="8" t="str">
        <f t="shared" si="3"/>
        <v>06</v>
      </c>
      <c r="E128" s="7">
        <v>1</v>
      </c>
      <c r="F128" s="7">
        <v>0</v>
      </c>
      <c r="G128" s="7">
        <v>1</v>
      </c>
      <c r="H128" s="7">
        <v>12</v>
      </c>
      <c r="I128" s="7" t="b">
        <v>0</v>
      </c>
      <c r="J128" s="22">
        <f>--Table1[[#This Row],[HOLIDAY]]</f>
        <v>0</v>
      </c>
      <c r="K128" s="9">
        <v>4</v>
      </c>
      <c r="L128" s="7">
        <v>1</v>
      </c>
      <c r="M128" s="7">
        <f>LEN(TEXT(Table1[[#This Row],[WEATHER]],"0"))</f>
        <v>1</v>
      </c>
      <c r="N128" s="36">
        <v>0.26</v>
      </c>
      <c r="O128" s="37">
        <f>VLOOKUP(Table1[[#This Row],[INSTANT]],[1]dataset_2!$A:$G,2,FALSE)</f>
        <v>0.19700000000000001</v>
      </c>
      <c r="P128" s="37">
        <f>VLOOKUP(Table1[[#This Row],[INSTANT]],[1]dataset_2!$A:$G,3,0)</f>
        <v>0.59</v>
      </c>
      <c r="Q128" s="37">
        <f>VLOOKUP(Table1[[#This Row],[INSTANT]],[1]dataset_2!$A:$D,4,FALSE)</f>
        <v>0.19400000000000001</v>
      </c>
      <c r="R128" s="37">
        <f>VLOOKUP(Table1[[#This Row],[INSTANT]],[1]dataset_2!$A:$G,5,0)</f>
        <v>4</v>
      </c>
      <c r="S128" s="38">
        <f>VLOOKUP(Table1[[#This Row],[INSTANT]],[1]dataset_2!$A:$G,6,0)</f>
        <v>19</v>
      </c>
      <c r="T128" s="38">
        <f>VLOOKUP(Table1[[#This Row],[INSTANT]],[1]dataset_2!$A:$G,7,0)</f>
        <v>23</v>
      </c>
    </row>
    <row r="129" spans="1:20" ht="13" x14ac:dyDescent="0.15">
      <c r="A129" s="35">
        <v>128</v>
      </c>
      <c r="B129" s="27">
        <v>40549</v>
      </c>
      <c r="C129" s="8" t="str">
        <f t="shared" si="2"/>
        <v>2011</v>
      </c>
      <c r="D129" s="8" t="str">
        <f t="shared" si="3"/>
        <v>06</v>
      </c>
      <c r="E129" s="7">
        <v>1</v>
      </c>
      <c r="F129" s="7">
        <v>0</v>
      </c>
      <c r="G129" s="7">
        <v>1</v>
      </c>
      <c r="H129" s="7">
        <v>13</v>
      </c>
      <c r="I129" s="7" t="b">
        <v>0</v>
      </c>
      <c r="J129" s="22">
        <f>--Table1[[#This Row],[HOLIDAY]]</f>
        <v>0</v>
      </c>
      <c r="K129" s="9">
        <v>4</v>
      </c>
      <c r="L129" s="7">
        <v>1</v>
      </c>
      <c r="M129" s="7">
        <f>LEN(TEXT(Table1[[#This Row],[WEATHER]],"0"))</f>
        <v>1</v>
      </c>
      <c r="N129" s="36">
        <v>0.26</v>
      </c>
      <c r="O129" s="37">
        <f>VLOOKUP(Table1[[#This Row],[INSTANT]],[1]dataset_2!$A:$G,2,FALSE)</f>
        <v>0.19700000000000001</v>
      </c>
      <c r="P129" s="37">
        <f>VLOOKUP(Table1[[#This Row],[INSTANT]],[1]dataset_2!$A:$G,3,0)</f>
        <v>0.64</v>
      </c>
      <c r="Q129" s="37">
        <f>VLOOKUP(Table1[[#This Row],[INSTANT]],[1]dataset_2!$A:$D,4,FALSE)</f>
        <v>0.19400000000000001</v>
      </c>
      <c r="R129" s="37">
        <f>VLOOKUP(Table1[[#This Row],[INSTANT]],[1]dataset_2!$A:$G,5,0)</f>
        <v>4</v>
      </c>
      <c r="S129" s="38">
        <f>VLOOKUP(Table1[[#This Row],[INSTANT]],[1]dataset_2!$A:$G,6,0)</f>
        <v>13</v>
      </c>
      <c r="T129" s="38">
        <f>VLOOKUP(Table1[[#This Row],[INSTANT]],[1]dataset_2!$A:$G,7,0)</f>
        <v>17</v>
      </c>
    </row>
    <row r="130" spans="1:20" ht="13" x14ac:dyDescent="0.15">
      <c r="A130" s="35">
        <v>129</v>
      </c>
      <c r="B130" s="27">
        <v>40549</v>
      </c>
      <c r="C130" s="8" t="str">
        <f t="shared" ref="C130:C193" si="4">RIGHT(TEXT(B131,"DD-MM-YYYY"),4)</f>
        <v>2011</v>
      </c>
      <c r="D130" s="8" t="str">
        <f t="shared" ref="D130:D193" si="5">LEFT(TEXT(B130,"DD-MM-YYYY"),2)</f>
        <v>06</v>
      </c>
      <c r="E130" s="7">
        <v>1</v>
      </c>
      <c r="F130" s="7">
        <v>0</v>
      </c>
      <c r="G130" s="7">
        <v>1</v>
      </c>
      <c r="H130" s="7">
        <v>14</v>
      </c>
      <c r="I130" s="7" t="b">
        <v>0</v>
      </c>
      <c r="J130" s="22">
        <f>--Table1[[#This Row],[HOLIDAY]]</f>
        <v>0</v>
      </c>
      <c r="K130" s="9">
        <v>4</v>
      </c>
      <c r="L130" s="7">
        <v>1</v>
      </c>
      <c r="M130" s="7">
        <f>LEN(TEXT(Table1[[#This Row],[WEATHER]],"0"))</f>
        <v>1</v>
      </c>
      <c r="N130" s="36">
        <v>0.28000000000000003</v>
      </c>
      <c r="O130" s="37">
        <f>VLOOKUP(Table1[[#This Row],[INSTANT]],[1]dataset_2!$A:$G,2,FALSE)</f>
        <v>0.19700000000000001</v>
      </c>
      <c r="P130" s="37">
        <f>VLOOKUP(Table1[[#This Row],[INSTANT]],[1]dataset_2!$A:$G,3,0)</f>
        <v>0.69</v>
      </c>
      <c r="Q130" s="37">
        <f>VLOOKUP(Table1[[#This Row],[INSTANT]],[1]dataset_2!$A:$D,4,FALSE)</f>
        <v>0.22389999999999999</v>
      </c>
      <c r="R130" s="37">
        <f>VLOOKUP(Table1[[#This Row],[INSTANT]],[1]dataset_2!$A:$G,5,0)</f>
        <v>2</v>
      </c>
      <c r="S130" s="38">
        <f>VLOOKUP(Table1[[#This Row],[INSTANT]],[1]dataset_2!$A:$G,6,0)</f>
        <v>5</v>
      </c>
      <c r="T130" s="38">
        <f>VLOOKUP(Table1[[#This Row],[INSTANT]],[1]dataset_2!$A:$G,7,0)</f>
        <v>7</v>
      </c>
    </row>
    <row r="131" spans="1:20" ht="13" x14ac:dyDescent="0.15">
      <c r="A131" s="35">
        <v>130</v>
      </c>
      <c r="B131" s="27">
        <v>40549</v>
      </c>
      <c r="C131" s="8" t="str">
        <f t="shared" si="4"/>
        <v>2011</v>
      </c>
      <c r="D131" s="8" t="str">
        <f t="shared" si="5"/>
        <v>06</v>
      </c>
      <c r="E131" s="7">
        <v>1</v>
      </c>
      <c r="F131" s="7">
        <v>0</v>
      </c>
      <c r="G131" s="7">
        <v>1</v>
      </c>
      <c r="H131" s="7">
        <v>15</v>
      </c>
      <c r="I131" s="7" t="b">
        <v>0</v>
      </c>
      <c r="J131" s="22">
        <f>--Table1[[#This Row],[HOLIDAY]]</f>
        <v>0</v>
      </c>
      <c r="K131" s="9">
        <v>4</v>
      </c>
      <c r="L131" s="7">
        <v>1</v>
      </c>
      <c r="M131" s="7">
        <f>LEN(TEXT(Table1[[#This Row],[WEATHER]],"0"))</f>
        <v>1</v>
      </c>
      <c r="N131" s="36">
        <v>0.28000000000000003</v>
      </c>
      <c r="O131" s="37">
        <f>VLOOKUP(Table1[[#This Row],[INSTANT]],[1]dataset_2!$A:$G,2,FALSE)</f>
        <v>0.19700000000000001</v>
      </c>
      <c r="P131" s="37">
        <f>VLOOKUP(Table1[[#This Row],[INSTANT]],[1]dataset_2!$A:$G,3,0)</f>
        <v>0.69</v>
      </c>
      <c r="Q131" s="37">
        <f>VLOOKUP(Table1[[#This Row],[INSTANT]],[1]dataset_2!$A:$D,4,FALSE)</f>
        <v>0.22389999999999999</v>
      </c>
      <c r="R131" s="37">
        <f>VLOOKUP(Table1[[#This Row],[INSTANT]],[1]dataset_2!$A:$G,5,0)</f>
        <v>0</v>
      </c>
      <c r="S131" s="38">
        <f>VLOOKUP(Table1[[#This Row],[INSTANT]],[1]dataset_2!$A:$G,6,0)</f>
        <v>1</v>
      </c>
      <c r="T131" s="38">
        <f>VLOOKUP(Table1[[#This Row],[INSTANT]],[1]dataset_2!$A:$G,7,0)</f>
        <v>1</v>
      </c>
    </row>
    <row r="132" spans="1:20" ht="13" x14ac:dyDescent="0.15">
      <c r="A132" s="35">
        <v>131</v>
      </c>
      <c r="B132" s="27">
        <v>40549</v>
      </c>
      <c r="C132" s="8" t="str">
        <f t="shared" si="4"/>
        <v>2011</v>
      </c>
      <c r="D132" s="8" t="str">
        <f t="shared" si="5"/>
        <v>06</v>
      </c>
      <c r="E132" s="7">
        <v>1</v>
      </c>
      <c r="F132" s="7">
        <v>0</v>
      </c>
      <c r="G132" s="7">
        <v>1</v>
      </c>
      <c r="H132" s="7">
        <v>16</v>
      </c>
      <c r="I132" s="7" t="b">
        <v>0</v>
      </c>
      <c r="J132" s="22">
        <f>--Table1[[#This Row],[HOLIDAY]]</f>
        <v>0</v>
      </c>
      <c r="K132" s="9">
        <v>4</v>
      </c>
      <c r="L132" s="7">
        <v>1</v>
      </c>
      <c r="M132" s="7">
        <f>LEN(TEXT(Table1[[#This Row],[WEATHER]],"0"))</f>
        <v>1</v>
      </c>
      <c r="N132" s="36">
        <v>0.26</v>
      </c>
      <c r="O132" s="37">
        <f>VLOOKUP(Table1[[#This Row],[INSTANT]],[1]dataset_2!$A:$G,2,FALSE)</f>
        <v>0.21210000000000001</v>
      </c>
      <c r="P132" s="37">
        <f>VLOOKUP(Table1[[#This Row],[INSTANT]],[1]dataset_2!$A:$G,3,0)</f>
        <v>0.69</v>
      </c>
      <c r="Q132" s="37">
        <f>VLOOKUP(Table1[[#This Row],[INSTANT]],[1]dataset_2!$A:$D,4,FALSE)</f>
        <v>0.1343</v>
      </c>
      <c r="R132" s="37">
        <f>VLOOKUP(Table1[[#This Row],[INSTANT]],[1]dataset_2!$A:$G,5,0)</f>
        <v>0</v>
      </c>
      <c r="S132" s="38">
        <f>VLOOKUP(Table1[[#This Row],[INSTANT]],[1]dataset_2!$A:$G,6,0)</f>
        <v>1</v>
      </c>
      <c r="T132" s="38">
        <f>VLOOKUP(Table1[[#This Row],[INSTANT]],[1]dataset_2!$A:$G,7,0)</f>
        <v>1</v>
      </c>
    </row>
    <row r="133" spans="1:20" ht="13" x14ac:dyDescent="0.15">
      <c r="A133" s="35">
        <v>132</v>
      </c>
      <c r="B133" s="27">
        <v>40549</v>
      </c>
      <c r="C133" s="8" t="str">
        <f t="shared" si="4"/>
        <v>2011</v>
      </c>
      <c r="D133" s="8" t="str">
        <f t="shared" si="5"/>
        <v>06</v>
      </c>
      <c r="E133" s="7">
        <v>1</v>
      </c>
      <c r="F133" s="7">
        <v>0</v>
      </c>
      <c r="G133" s="7">
        <v>1</v>
      </c>
      <c r="H133" s="7">
        <v>17</v>
      </c>
      <c r="I133" s="7" t="b">
        <v>0</v>
      </c>
      <c r="J133" s="22">
        <f>--Table1[[#This Row],[HOLIDAY]]</f>
        <v>0</v>
      </c>
      <c r="K133" s="9">
        <v>4</v>
      </c>
      <c r="L133" s="7">
        <v>1</v>
      </c>
      <c r="M133" s="7">
        <f>LEN(TEXT(Table1[[#This Row],[WEATHER]],"0"))</f>
        <v>1</v>
      </c>
      <c r="N133" s="36">
        <v>0.22</v>
      </c>
      <c r="O133" s="37">
        <f>VLOOKUP(Table1[[#This Row],[INSTANT]],[1]dataset_2!$A:$G,2,FALSE)</f>
        <v>0.2727</v>
      </c>
      <c r="P133" s="37">
        <f>VLOOKUP(Table1[[#This Row],[INSTANT]],[1]dataset_2!$A:$G,3,0)</f>
        <v>0.55000000000000004</v>
      </c>
      <c r="Q133" s="37">
        <f>VLOOKUP(Table1[[#This Row],[INSTANT]],[1]dataset_2!$A:$D,4,FALSE)</f>
        <v>0</v>
      </c>
      <c r="R133" s="37">
        <f>VLOOKUP(Table1[[#This Row],[INSTANT]],[1]dataset_2!$A:$G,5,0)</f>
        <v>0</v>
      </c>
      <c r="S133" s="38">
        <f>VLOOKUP(Table1[[#This Row],[INSTANT]],[1]dataset_2!$A:$G,6,0)</f>
        <v>5</v>
      </c>
      <c r="T133" s="38">
        <f>VLOOKUP(Table1[[#This Row],[INSTANT]],[1]dataset_2!$A:$G,7,0)</f>
        <v>5</v>
      </c>
    </row>
    <row r="134" spans="1:20" ht="13" x14ac:dyDescent="0.15">
      <c r="A134" s="35">
        <v>133</v>
      </c>
      <c r="B134" s="27">
        <v>40549</v>
      </c>
      <c r="C134" s="8" t="str">
        <f t="shared" si="4"/>
        <v>2011</v>
      </c>
      <c r="D134" s="8" t="str">
        <f t="shared" si="5"/>
        <v>06</v>
      </c>
      <c r="E134" s="7">
        <v>1</v>
      </c>
      <c r="F134" s="7">
        <v>0</v>
      </c>
      <c r="G134" s="7">
        <v>1</v>
      </c>
      <c r="H134" s="7">
        <v>18</v>
      </c>
      <c r="I134" s="7" t="b">
        <v>0</v>
      </c>
      <c r="J134" s="22">
        <f>--Table1[[#This Row],[HOLIDAY]]</f>
        <v>0</v>
      </c>
      <c r="K134" s="9">
        <v>4</v>
      </c>
      <c r="L134" s="7">
        <v>1</v>
      </c>
      <c r="M134" s="7">
        <f>LEN(TEXT(Table1[[#This Row],[WEATHER]],"0"))</f>
        <v>1</v>
      </c>
      <c r="N134" s="36">
        <v>0.22</v>
      </c>
      <c r="O134" s="37">
        <f>VLOOKUP(Table1[[#This Row],[INSTANT]],[1]dataset_2!$A:$G,2,FALSE)</f>
        <v>0.2576</v>
      </c>
      <c r="P134" s="37">
        <f>VLOOKUP(Table1[[#This Row],[INSTANT]],[1]dataset_2!$A:$G,3,0)</f>
        <v>0.69</v>
      </c>
      <c r="Q134" s="37">
        <f>VLOOKUP(Table1[[#This Row],[INSTANT]],[1]dataset_2!$A:$D,4,FALSE)</f>
        <v>0</v>
      </c>
      <c r="R134" s="37">
        <f>VLOOKUP(Table1[[#This Row],[INSTANT]],[1]dataset_2!$A:$G,5,0)</f>
        <v>8</v>
      </c>
      <c r="S134" s="38">
        <f>VLOOKUP(Table1[[#This Row],[INSTANT]],[1]dataset_2!$A:$G,6,0)</f>
        <v>26</v>
      </c>
      <c r="T134" s="38">
        <f>VLOOKUP(Table1[[#This Row],[INSTANT]],[1]dataset_2!$A:$G,7,0)</f>
        <v>34</v>
      </c>
    </row>
    <row r="135" spans="1:20" ht="13" x14ac:dyDescent="0.15">
      <c r="A135" s="35">
        <v>134</v>
      </c>
      <c r="B135" s="27">
        <v>40549</v>
      </c>
      <c r="C135" s="8" t="str">
        <f t="shared" si="4"/>
        <v>2011</v>
      </c>
      <c r="D135" s="8" t="str">
        <f t="shared" si="5"/>
        <v>06</v>
      </c>
      <c r="E135" s="7">
        <v>1</v>
      </c>
      <c r="F135" s="7">
        <v>0</v>
      </c>
      <c r="G135" s="7">
        <v>1</v>
      </c>
      <c r="H135" s="7">
        <v>19</v>
      </c>
      <c r="I135" s="7" t="b">
        <v>0</v>
      </c>
      <c r="J135" s="22">
        <f>--Table1[[#This Row],[HOLIDAY]]</f>
        <v>0</v>
      </c>
      <c r="K135" s="9">
        <v>4</v>
      </c>
      <c r="L135" s="7">
        <v>1</v>
      </c>
      <c r="M135" s="7">
        <f>LEN(TEXT(Table1[[#This Row],[WEATHER]],"0"))</f>
        <v>1</v>
      </c>
      <c r="N135" s="36">
        <v>0.22</v>
      </c>
      <c r="O135" s="37">
        <f>VLOOKUP(Table1[[#This Row],[INSTANT]],[1]dataset_2!$A:$G,2,FALSE)</f>
        <v>0.21210000000000001</v>
      </c>
      <c r="P135" s="37">
        <f>VLOOKUP(Table1[[#This Row],[INSTANT]],[1]dataset_2!$A:$G,3,0)</f>
        <v>0.69</v>
      </c>
      <c r="Q135" s="37">
        <f>VLOOKUP(Table1[[#This Row],[INSTANT]],[1]dataset_2!$A:$D,4,FALSE)</f>
        <v>0.1343</v>
      </c>
      <c r="R135" s="37">
        <f>VLOOKUP(Table1[[#This Row],[INSTANT]],[1]dataset_2!$A:$G,5,0)</f>
        <v>8</v>
      </c>
      <c r="S135" s="38">
        <f>VLOOKUP(Table1[[#This Row],[INSTANT]],[1]dataset_2!$A:$G,6,0)</f>
        <v>76</v>
      </c>
      <c r="T135" s="38">
        <f>VLOOKUP(Table1[[#This Row],[INSTANT]],[1]dataset_2!$A:$G,7,0)</f>
        <v>84</v>
      </c>
    </row>
    <row r="136" spans="1:20" ht="13" x14ac:dyDescent="0.15">
      <c r="A136" s="35">
        <v>135</v>
      </c>
      <c r="B136" s="27">
        <v>40549</v>
      </c>
      <c r="C136" s="8" t="str">
        <f t="shared" si="4"/>
        <v>2011</v>
      </c>
      <c r="D136" s="8" t="str">
        <f t="shared" si="5"/>
        <v>06</v>
      </c>
      <c r="E136" s="7">
        <v>1</v>
      </c>
      <c r="F136" s="7">
        <v>0</v>
      </c>
      <c r="G136" s="7">
        <v>1</v>
      </c>
      <c r="H136" s="7">
        <v>20</v>
      </c>
      <c r="I136" s="7" t="b">
        <v>0</v>
      </c>
      <c r="J136" s="22">
        <f>--Table1[[#This Row],[HOLIDAY]]</f>
        <v>0</v>
      </c>
      <c r="K136" s="9">
        <v>4</v>
      </c>
      <c r="L136" s="7">
        <v>1</v>
      </c>
      <c r="M136" s="7">
        <f>LEN(TEXT(Table1[[#This Row],[WEATHER]],"0"))</f>
        <v>1</v>
      </c>
      <c r="N136" s="36">
        <v>0.2</v>
      </c>
      <c r="O136" s="37">
        <f>VLOOKUP(Table1[[#This Row],[INSTANT]],[1]dataset_2!$A:$G,2,FALSE)</f>
        <v>0.19700000000000001</v>
      </c>
      <c r="P136" s="37">
        <f>VLOOKUP(Table1[[#This Row],[INSTANT]],[1]dataset_2!$A:$G,3,0)</f>
        <v>0.51</v>
      </c>
      <c r="Q136" s="37">
        <f>VLOOKUP(Table1[[#This Row],[INSTANT]],[1]dataset_2!$A:$D,4,FALSE)</f>
        <v>0.25369999999999998</v>
      </c>
      <c r="R136" s="37">
        <f>VLOOKUP(Table1[[#This Row],[INSTANT]],[1]dataset_2!$A:$G,5,0)</f>
        <v>20</v>
      </c>
      <c r="S136" s="38">
        <f>VLOOKUP(Table1[[#This Row],[INSTANT]],[1]dataset_2!$A:$G,6,0)</f>
        <v>190</v>
      </c>
      <c r="T136" s="38">
        <f>VLOOKUP(Table1[[#This Row],[INSTANT]],[1]dataset_2!$A:$G,7,0)</f>
        <v>210</v>
      </c>
    </row>
    <row r="137" spans="1:20" ht="13" x14ac:dyDescent="0.15">
      <c r="A137" s="35">
        <v>136</v>
      </c>
      <c r="B137" s="27">
        <v>40549</v>
      </c>
      <c r="C137" s="8" t="str">
        <f t="shared" si="4"/>
        <v>2011</v>
      </c>
      <c r="D137" s="8" t="str">
        <f t="shared" si="5"/>
        <v>06</v>
      </c>
      <c r="E137" s="7">
        <v>1</v>
      </c>
      <c r="F137" s="7">
        <v>0</v>
      </c>
      <c r="G137" s="7">
        <v>1</v>
      </c>
      <c r="H137" s="7">
        <v>21</v>
      </c>
      <c r="I137" s="7" t="b">
        <v>0</v>
      </c>
      <c r="J137" s="22">
        <f>--Table1[[#This Row],[HOLIDAY]]</f>
        <v>0</v>
      </c>
      <c r="K137" s="9">
        <v>4</v>
      </c>
      <c r="L137" s="7">
        <v>2</v>
      </c>
      <c r="M137" s="7">
        <f>LEN(TEXT(Table1[[#This Row],[WEATHER]],"0"))</f>
        <v>1</v>
      </c>
      <c r="N137" s="36">
        <v>0.22</v>
      </c>
      <c r="O137" s="37">
        <f>VLOOKUP(Table1[[#This Row],[INSTANT]],[1]dataset_2!$A:$G,2,FALSE)</f>
        <v>0.18179999999999999</v>
      </c>
      <c r="P137" s="37">
        <f>VLOOKUP(Table1[[#This Row],[INSTANT]],[1]dataset_2!$A:$G,3,0)</f>
        <v>0.47</v>
      </c>
      <c r="Q137" s="37">
        <f>VLOOKUP(Table1[[#This Row],[INSTANT]],[1]dataset_2!$A:$D,4,FALSE)</f>
        <v>0.29849999999999999</v>
      </c>
      <c r="R137" s="37">
        <f>VLOOKUP(Table1[[#This Row],[INSTANT]],[1]dataset_2!$A:$G,5,0)</f>
        <v>9</v>
      </c>
      <c r="S137" s="38">
        <f>VLOOKUP(Table1[[#This Row],[INSTANT]],[1]dataset_2!$A:$G,6,0)</f>
        <v>125</v>
      </c>
      <c r="T137" s="38">
        <f>VLOOKUP(Table1[[#This Row],[INSTANT]],[1]dataset_2!$A:$G,7,0)</f>
        <v>134</v>
      </c>
    </row>
    <row r="138" spans="1:20" ht="13" x14ac:dyDescent="0.15">
      <c r="A138" s="35">
        <v>137</v>
      </c>
      <c r="B138" s="27">
        <v>40549</v>
      </c>
      <c r="C138" s="8" t="str">
        <f t="shared" si="4"/>
        <v>2011</v>
      </c>
      <c r="D138" s="8" t="str">
        <f t="shared" si="5"/>
        <v>06</v>
      </c>
      <c r="E138" s="7">
        <v>1</v>
      </c>
      <c r="F138" s="7">
        <v>0</v>
      </c>
      <c r="G138" s="7">
        <v>1</v>
      </c>
      <c r="H138" s="7">
        <v>22</v>
      </c>
      <c r="I138" s="7" t="b">
        <v>0</v>
      </c>
      <c r="J138" s="22">
        <f>--Table1[[#This Row],[HOLIDAY]]</f>
        <v>0</v>
      </c>
      <c r="K138" s="9">
        <v>4</v>
      </c>
      <c r="L138" s="7">
        <v>2</v>
      </c>
      <c r="M138" s="7">
        <f>LEN(TEXT(Table1[[#This Row],[WEATHER]],"0"))</f>
        <v>1</v>
      </c>
      <c r="N138" s="36">
        <v>0.22</v>
      </c>
      <c r="O138" s="37">
        <f>VLOOKUP(Table1[[#This Row],[INSTANT]],[1]dataset_2!$A:$G,2,FALSE)</f>
        <v>0.19700000000000001</v>
      </c>
      <c r="P138" s="37">
        <f>VLOOKUP(Table1[[#This Row],[INSTANT]],[1]dataset_2!$A:$G,3,0)</f>
        <v>0.37</v>
      </c>
      <c r="Q138" s="37">
        <f>VLOOKUP(Table1[[#This Row],[INSTANT]],[1]dataset_2!$A:$D,4,FALSE)</f>
        <v>0.32840000000000003</v>
      </c>
      <c r="R138" s="37">
        <f>VLOOKUP(Table1[[#This Row],[INSTANT]],[1]dataset_2!$A:$G,5,0)</f>
        <v>16</v>
      </c>
      <c r="S138" s="38">
        <f>VLOOKUP(Table1[[#This Row],[INSTANT]],[1]dataset_2!$A:$G,6,0)</f>
        <v>47</v>
      </c>
      <c r="T138" s="38">
        <f>VLOOKUP(Table1[[#This Row],[INSTANT]],[1]dataset_2!$A:$G,7,0)</f>
        <v>63</v>
      </c>
    </row>
    <row r="139" spans="1:20" ht="13" x14ac:dyDescent="0.15">
      <c r="A139" s="35">
        <v>138</v>
      </c>
      <c r="B139" s="27">
        <v>40549</v>
      </c>
      <c r="C139" s="8" t="str">
        <f t="shared" si="4"/>
        <v>2011</v>
      </c>
      <c r="D139" s="8" t="str">
        <f t="shared" si="5"/>
        <v>06</v>
      </c>
      <c r="E139" s="7">
        <v>1</v>
      </c>
      <c r="F139" s="7">
        <v>0</v>
      </c>
      <c r="G139" s="7">
        <v>1</v>
      </c>
      <c r="H139" s="7">
        <v>23</v>
      </c>
      <c r="I139" s="7" t="b">
        <v>0</v>
      </c>
      <c r="J139" s="22">
        <f>--Table1[[#This Row],[HOLIDAY]]</f>
        <v>0</v>
      </c>
      <c r="K139" s="9">
        <v>4</v>
      </c>
      <c r="L139" s="7">
        <v>2</v>
      </c>
      <c r="M139" s="7">
        <f>LEN(TEXT(Table1[[#This Row],[WEATHER]],"0"))</f>
        <v>1</v>
      </c>
      <c r="N139" s="36">
        <v>0.2</v>
      </c>
      <c r="O139" s="37">
        <f>VLOOKUP(Table1[[#This Row],[INSTANT]],[1]dataset_2!$A:$G,2,FALSE)</f>
        <v>0.19700000000000001</v>
      </c>
      <c r="P139" s="37">
        <f>VLOOKUP(Table1[[#This Row],[INSTANT]],[1]dataset_2!$A:$G,3,0)</f>
        <v>0.4</v>
      </c>
      <c r="Q139" s="37">
        <f>VLOOKUP(Table1[[#This Row],[INSTANT]],[1]dataset_2!$A:$D,4,FALSE)</f>
        <v>0.22389999999999999</v>
      </c>
      <c r="R139" s="37">
        <f>VLOOKUP(Table1[[#This Row],[INSTANT]],[1]dataset_2!$A:$G,5,0)</f>
        <v>19</v>
      </c>
      <c r="S139" s="38">
        <f>VLOOKUP(Table1[[#This Row],[INSTANT]],[1]dataset_2!$A:$G,6,0)</f>
        <v>48</v>
      </c>
      <c r="T139" s="38">
        <f>VLOOKUP(Table1[[#This Row],[INSTANT]],[1]dataset_2!$A:$G,7,0)</f>
        <v>67</v>
      </c>
    </row>
    <row r="140" spans="1:20" ht="13" x14ac:dyDescent="0.15">
      <c r="A140" s="35">
        <v>139</v>
      </c>
      <c r="B140" s="27">
        <v>40550</v>
      </c>
      <c r="C140" s="8" t="str">
        <f t="shared" si="4"/>
        <v>2011</v>
      </c>
      <c r="D140" s="8" t="str">
        <f t="shared" si="5"/>
        <v>07</v>
      </c>
      <c r="E140" s="7">
        <v>1</v>
      </c>
      <c r="F140" s="7">
        <v>0</v>
      </c>
      <c r="G140" s="7">
        <v>1</v>
      </c>
      <c r="H140" s="7">
        <v>0</v>
      </c>
      <c r="I140" s="7" t="b">
        <v>0</v>
      </c>
      <c r="J140" s="22">
        <f>--Table1[[#This Row],[HOLIDAY]]</f>
        <v>0</v>
      </c>
      <c r="K140" s="9">
        <v>5</v>
      </c>
      <c r="L140" s="7">
        <v>2</v>
      </c>
      <c r="M140" s="7">
        <f>LEN(TEXT(Table1[[#This Row],[WEATHER]],"0"))</f>
        <v>1</v>
      </c>
      <c r="N140" s="36">
        <v>0.2</v>
      </c>
      <c r="O140" s="37">
        <f>VLOOKUP(Table1[[#This Row],[INSTANT]],[1]dataset_2!$A:$G,2,FALSE)</f>
        <v>0.19700000000000001</v>
      </c>
      <c r="P140" s="37">
        <f>VLOOKUP(Table1[[#This Row],[INSTANT]],[1]dataset_2!$A:$G,3,0)</f>
        <v>0.37</v>
      </c>
      <c r="Q140" s="37">
        <f>VLOOKUP(Table1[[#This Row],[INSTANT]],[1]dataset_2!$A:$D,4,FALSE)</f>
        <v>0.25369999999999998</v>
      </c>
      <c r="R140" s="37">
        <f>VLOOKUP(Table1[[#This Row],[INSTANT]],[1]dataset_2!$A:$G,5,0)</f>
        <v>9</v>
      </c>
      <c r="S140" s="38">
        <f>VLOOKUP(Table1[[#This Row],[INSTANT]],[1]dataset_2!$A:$G,6,0)</f>
        <v>50</v>
      </c>
      <c r="T140" s="38">
        <f>VLOOKUP(Table1[[#This Row],[INSTANT]],[1]dataset_2!$A:$G,7,0)</f>
        <v>59</v>
      </c>
    </row>
    <row r="141" spans="1:20" ht="13" x14ac:dyDescent="0.15">
      <c r="A141" s="35">
        <v>140</v>
      </c>
      <c r="B141" s="27">
        <v>40550</v>
      </c>
      <c r="C141" s="8" t="str">
        <f t="shared" si="4"/>
        <v>2011</v>
      </c>
      <c r="D141" s="8" t="str">
        <f t="shared" si="5"/>
        <v>07</v>
      </c>
      <c r="E141" s="7">
        <v>1</v>
      </c>
      <c r="F141" s="7">
        <v>0</v>
      </c>
      <c r="G141" s="7">
        <v>1</v>
      </c>
      <c r="H141" s="7">
        <v>1</v>
      </c>
      <c r="I141" s="7" t="b">
        <v>0</v>
      </c>
      <c r="J141" s="22">
        <f>--Table1[[#This Row],[HOLIDAY]]</f>
        <v>0</v>
      </c>
      <c r="K141" s="9">
        <v>5</v>
      </c>
      <c r="L141" s="7">
        <v>2</v>
      </c>
      <c r="M141" s="7">
        <f>LEN(TEXT(Table1[[#This Row],[WEATHER]],"0"))</f>
        <v>1</v>
      </c>
      <c r="N141" s="36">
        <v>0.2</v>
      </c>
      <c r="O141" s="37">
        <f>VLOOKUP(Table1[[#This Row],[INSTANT]],[1]dataset_2!$A:$G,2,FALSE)</f>
        <v>0.18179999999999999</v>
      </c>
      <c r="P141" s="37">
        <f>VLOOKUP(Table1[[#This Row],[INSTANT]],[1]dataset_2!$A:$G,3,0)</f>
        <v>0.37</v>
      </c>
      <c r="Q141" s="37">
        <f>VLOOKUP(Table1[[#This Row],[INSTANT]],[1]dataset_2!$A:$D,4,FALSE)</f>
        <v>0.28360000000000002</v>
      </c>
      <c r="R141" s="37">
        <f>VLOOKUP(Table1[[#This Row],[INSTANT]],[1]dataset_2!$A:$G,5,0)</f>
        <v>9</v>
      </c>
      <c r="S141" s="38">
        <f>VLOOKUP(Table1[[#This Row],[INSTANT]],[1]dataset_2!$A:$G,6,0)</f>
        <v>64</v>
      </c>
      <c r="T141" s="38">
        <f>VLOOKUP(Table1[[#This Row],[INSTANT]],[1]dataset_2!$A:$G,7,0)</f>
        <v>73</v>
      </c>
    </row>
    <row r="142" spans="1:20" ht="13" x14ac:dyDescent="0.15">
      <c r="A142" s="35">
        <v>141</v>
      </c>
      <c r="B142" s="27">
        <v>40550</v>
      </c>
      <c r="C142" s="8" t="str">
        <f t="shared" si="4"/>
        <v>2011</v>
      </c>
      <c r="D142" s="8" t="str">
        <f t="shared" si="5"/>
        <v>07</v>
      </c>
      <c r="E142" s="7">
        <v>1</v>
      </c>
      <c r="F142" s="7">
        <v>0</v>
      </c>
      <c r="G142" s="7">
        <v>1</v>
      </c>
      <c r="H142" s="7">
        <v>2</v>
      </c>
      <c r="I142" s="7" t="b">
        <v>0</v>
      </c>
      <c r="J142" s="22">
        <f>--Table1[[#This Row],[HOLIDAY]]</f>
        <v>0</v>
      </c>
      <c r="K142" s="9">
        <v>5</v>
      </c>
      <c r="L142" s="7">
        <v>2</v>
      </c>
      <c r="M142" s="7">
        <f>LEN(TEXT(Table1[[#This Row],[WEATHER]],"0"))</f>
        <v>1</v>
      </c>
      <c r="N142" s="36">
        <v>0.2</v>
      </c>
      <c r="O142" s="37">
        <f>VLOOKUP(Table1[[#This Row],[INSTANT]],[1]dataset_2!$A:$G,2,FALSE)</f>
        <v>0.19700000000000001</v>
      </c>
      <c r="P142" s="37">
        <f>VLOOKUP(Table1[[#This Row],[INSTANT]],[1]dataset_2!$A:$G,3,0)</f>
        <v>0.4</v>
      </c>
      <c r="Q142" s="37">
        <f>VLOOKUP(Table1[[#This Row],[INSTANT]],[1]dataset_2!$A:$D,4,FALSE)</f>
        <v>0.25369999999999998</v>
      </c>
      <c r="R142" s="37">
        <f>VLOOKUP(Table1[[#This Row],[INSTANT]],[1]dataset_2!$A:$G,5,0)</f>
        <v>7</v>
      </c>
      <c r="S142" s="38">
        <f>VLOOKUP(Table1[[#This Row],[INSTANT]],[1]dataset_2!$A:$G,6,0)</f>
        <v>43</v>
      </c>
      <c r="T142" s="38">
        <f>VLOOKUP(Table1[[#This Row],[INSTANT]],[1]dataset_2!$A:$G,7,0)</f>
        <v>50</v>
      </c>
    </row>
    <row r="143" spans="1:20" ht="13" x14ac:dyDescent="0.15">
      <c r="A143" s="35">
        <v>142</v>
      </c>
      <c r="B143" s="27">
        <v>40550</v>
      </c>
      <c r="C143" s="8" t="str">
        <f t="shared" si="4"/>
        <v>2011</v>
      </c>
      <c r="D143" s="8" t="str">
        <f t="shared" si="5"/>
        <v>07</v>
      </c>
      <c r="E143" s="7">
        <v>1</v>
      </c>
      <c r="F143" s="7">
        <v>0</v>
      </c>
      <c r="G143" s="7">
        <v>1</v>
      </c>
      <c r="H143" s="7">
        <v>4</v>
      </c>
      <c r="I143" s="7" t="b">
        <v>0</v>
      </c>
      <c r="J143" s="22">
        <f>--Table1[[#This Row],[HOLIDAY]]</f>
        <v>0</v>
      </c>
      <c r="K143" s="9">
        <v>5</v>
      </c>
      <c r="L143" s="7">
        <v>2</v>
      </c>
      <c r="M143" s="7">
        <f>LEN(TEXT(Table1[[#This Row],[WEATHER]],"0"))</f>
        <v>1</v>
      </c>
      <c r="N143" s="36">
        <v>0.2</v>
      </c>
      <c r="O143" s="37">
        <f>VLOOKUP(Table1[[#This Row],[INSTANT]],[1]dataset_2!$A:$G,2,FALSE)</f>
        <v>0.21210000000000001</v>
      </c>
      <c r="P143" s="37">
        <f>VLOOKUP(Table1[[#This Row],[INSTANT]],[1]dataset_2!$A:$G,3,0)</f>
        <v>0.37</v>
      </c>
      <c r="Q143" s="37">
        <f>VLOOKUP(Table1[[#This Row],[INSTANT]],[1]dataset_2!$A:$D,4,FALSE)</f>
        <v>0.16420000000000001</v>
      </c>
      <c r="R143" s="37">
        <f>VLOOKUP(Table1[[#This Row],[INSTANT]],[1]dataset_2!$A:$G,5,0)</f>
        <v>9</v>
      </c>
      <c r="S143" s="38">
        <f>VLOOKUP(Table1[[#This Row],[INSTANT]],[1]dataset_2!$A:$G,6,0)</f>
        <v>63</v>
      </c>
      <c r="T143" s="38">
        <f>VLOOKUP(Table1[[#This Row],[INSTANT]],[1]dataset_2!$A:$G,7,0)</f>
        <v>72</v>
      </c>
    </row>
    <row r="144" spans="1:20" ht="13" x14ac:dyDescent="0.15">
      <c r="A144" s="35">
        <v>143</v>
      </c>
      <c r="B144" s="27">
        <v>40550</v>
      </c>
      <c r="C144" s="8" t="str">
        <f t="shared" si="4"/>
        <v>2011</v>
      </c>
      <c r="D144" s="8" t="str">
        <f t="shared" si="5"/>
        <v>07</v>
      </c>
      <c r="E144" s="7">
        <v>1</v>
      </c>
      <c r="F144" s="7">
        <v>0</v>
      </c>
      <c r="G144" s="7">
        <v>1</v>
      </c>
      <c r="H144" s="7">
        <v>5</v>
      </c>
      <c r="I144" s="7" t="b">
        <v>0</v>
      </c>
      <c r="J144" s="22">
        <f>--Table1[[#This Row],[HOLIDAY]]</f>
        <v>0</v>
      </c>
      <c r="K144" s="9">
        <v>5</v>
      </c>
      <c r="L144" s="7">
        <v>3</v>
      </c>
      <c r="M144" s="7">
        <f>LEN(TEXT(Table1[[#This Row],[WEATHER]],"0"))</f>
        <v>1</v>
      </c>
      <c r="N144" s="36">
        <v>0.22</v>
      </c>
      <c r="O144" s="37">
        <f>VLOOKUP(Table1[[#This Row],[INSTANT]],[1]dataset_2!$A:$G,2,FALSE)</f>
        <v>0.21210000000000001</v>
      </c>
      <c r="P144" s="37">
        <f>VLOOKUP(Table1[[#This Row],[INSTANT]],[1]dataset_2!$A:$G,3,0)</f>
        <v>0.37</v>
      </c>
      <c r="Q144" s="37">
        <f>VLOOKUP(Table1[[#This Row],[INSTANT]],[1]dataset_2!$A:$D,4,FALSE)</f>
        <v>0.16420000000000001</v>
      </c>
      <c r="R144" s="37">
        <f>VLOOKUP(Table1[[#This Row],[INSTANT]],[1]dataset_2!$A:$G,5,0)</f>
        <v>5</v>
      </c>
      <c r="S144" s="38">
        <f>VLOOKUP(Table1[[#This Row],[INSTANT]],[1]dataset_2!$A:$G,6,0)</f>
        <v>82</v>
      </c>
      <c r="T144" s="38">
        <f>VLOOKUP(Table1[[#This Row],[INSTANT]],[1]dataset_2!$A:$G,7,0)</f>
        <v>87</v>
      </c>
    </row>
    <row r="145" spans="1:20" ht="13" x14ac:dyDescent="0.15">
      <c r="A145" s="35">
        <v>144</v>
      </c>
      <c r="B145" s="27">
        <v>40550</v>
      </c>
      <c r="C145" s="8" t="str">
        <f t="shared" si="4"/>
        <v>2011</v>
      </c>
      <c r="D145" s="8" t="str">
        <f t="shared" si="5"/>
        <v>07</v>
      </c>
      <c r="E145" s="7">
        <v>1</v>
      </c>
      <c r="F145" s="7">
        <v>0</v>
      </c>
      <c r="G145" s="7">
        <v>1</v>
      </c>
      <c r="H145" s="7">
        <v>6</v>
      </c>
      <c r="I145" s="7" t="b">
        <v>0</v>
      </c>
      <c r="J145" s="22">
        <f>--Table1[[#This Row],[HOLIDAY]]</f>
        <v>0</v>
      </c>
      <c r="K145" s="9">
        <v>5</v>
      </c>
      <c r="L145" s="7">
        <v>2</v>
      </c>
      <c r="M145" s="7">
        <f>LEN(TEXT(Table1[[#This Row],[WEATHER]],"0"))</f>
        <v>1</v>
      </c>
      <c r="N145" s="36">
        <v>0.2</v>
      </c>
      <c r="O145" s="37">
        <f>VLOOKUP(Table1[[#This Row],[INSTANT]],[1]dataset_2!$A:$G,2,FALSE)</f>
        <v>0.2576</v>
      </c>
      <c r="P145" s="37">
        <f>VLOOKUP(Table1[[#This Row],[INSTANT]],[1]dataset_2!$A:$G,3,0)</f>
        <v>0.37</v>
      </c>
      <c r="Q145" s="37">
        <f>VLOOKUP(Table1[[#This Row],[INSTANT]],[1]dataset_2!$A:$D,4,FALSE)</f>
        <v>0</v>
      </c>
      <c r="R145" s="37">
        <f>VLOOKUP(Table1[[#This Row],[INSTANT]],[1]dataset_2!$A:$G,5,0)</f>
        <v>9</v>
      </c>
      <c r="S145" s="38">
        <f>VLOOKUP(Table1[[#This Row],[INSTANT]],[1]dataset_2!$A:$G,6,0)</f>
        <v>178</v>
      </c>
      <c r="T145" s="38">
        <f>VLOOKUP(Table1[[#This Row],[INSTANT]],[1]dataset_2!$A:$G,7,0)</f>
        <v>187</v>
      </c>
    </row>
    <row r="146" spans="1:20" ht="13" x14ac:dyDescent="0.15">
      <c r="A146" s="35">
        <v>145</v>
      </c>
      <c r="B146" s="27">
        <v>40550</v>
      </c>
      <c r="C146" s="8" t="str">
        <f t="shared" si="4"/>
        <v>2011</v>
      </c>
      <c r="D146" s="8" t="str">
        <f t="shared" si="5"/>
        <v>07</v>
      </c>
      <c r="E146" s="7">
        <v>1</v>
      </c>
      <c r="F146" s="7">
        <v>0</v>
      </c>
      <c r="G146" s="7">
        <v>1</v>
      </c>
      <c r="H146" s="7">
        <v>7</v>
      </c>
      <c r="I146" s="7" t="b">
        <v>0</v>
      </c>
      <c r="J146" s="22">
        <f>--Table1[[#This Row],[HOLIDAY]]</f>
        <v>0</v>
      </c>
      <c r="K146" s="9">
        <v>5</v>
      </c>
      <c r="L146" s="7">
        <v>1</v>
      </c>
      <c r="M146" s="7">
        <f>LEN(TEXT(Table1[[#This Row],[WEATHER]],"0"))</f>
        <v>1</v>
      </c>
      <c r="N146" s="36">
        <v>0.2</v>
      </c>
      <c r="O146" s="37">
        <f>VLOOKUP(Table1[[#This Row],[INSTANT]],[1]dataset_2!$A:$G,2,FALSE)</f>
        <v>0.2273</v>
      </c>
      <c r="P146" s="37">
        <f>VLOOKUP(Table1[[#This Row],[INSTANT]],[1]dataset_2!$A:$G,3,0)</f>
        <v>0.4</v>
      </c>
      <c r="Q146" s="37">
        <f>VLOOKUP(Table1[[#This Row],[INSTANT]],[1]dataset_2!$A:$D,4,FALSE)</f>
        <v>8.9599999999999999E-2</v>
      </c>
      <c r="R146" s="37">
        <f>VLOOKUP(Table1[[#This Row],[INSTANT]],[1]dataset_2!$A:$G,5,0)</f>
        <v>7</v>
      </c>
      <c r="S146" s="38">
        <f>VLOOKUP(Table1[[#This Row],[INSTANT]],[1]dataset_2!$A:$G,6,0)</f>
        <v>116</v>
      </c>
      <c r="T146" s="38">
        <f>VLOOKUP(Table1[[#This Row],[INSTANT]],[1]dataset_2!$A:$G,7,0)</f>
        <v>123</v>
      </c>
    </row>
    <row r="147" spans="1:20" ht="13" x14ac:dyDescent="0.15">
      <c r="A147" s="35">
        <v>146</v>
      </c>
      <c r="B147" s="27">
        <v>40550</v>
      </c>
      <c r="C147" s="8" t="str">
        <f t="shared" si="4"/>
        <v>2011</v>
      </c>
      <c r="D147" s="8" t="str">
        <f t="shared" si="5"/>
        <v>07</v>
      </c>
      <c r="E147" s="7">
        <v>1</v>
      </c>
      <c r="F147" s="7">
        <v>0</v>
      </c>
      <c r="G147" s="7">
        <v>1</v>
      </c>
      <c r="H147" s="7">
        <v>8</v>
      </c>
      <c r="I147" s="7" t="b">
        <v>0</v>
      </c>
      <c r="J147" s="22">
        <f>--Table1[[#This Row],[HOLIDAY]]</f>
        <v>0</v>
      </c>
      <c r="K147" s="9">
        <v>5</v>
      </c>
      <c r="L147" s="7">
        <v>1</v>
      </c>
      <c r="M147" s="7">
        <f>LEN(TEXT(Table1[[#This Row],[WEATHER]],"0"))</f>
        <v>1</v>
      </c>
      <c r="N147" s="36">
        <v>0.2</v>
      </c>
      <c r="O147" s="37">
        <f>VLOOKUP(Table1[[#This Row],[INSTANT]],[1]dataset_2!$A:$G,2,FALSE)</f>
        <v>0.19700000000000001</v>
      </c>
      <c r="P147" s="37">
        <f>VLOOKUP(Table1[[#This Row],[INSTANT]],[1]dataset_2!$A:$G,3,0)</f>
        <v>0.55000000000000004</v>
      </c>
      <c r="Q147" s="37">
        <f>VLOOKUP(Table1[[#This Row],[INSTANT]],[1]dataset_2!$A:$D,4,FALSE)</f>
        <v>8.9599999999999999E-2</v>
      </c>
      <c r="R147" s="37">
        <f>VLOOKUP(Table1[[#This Row],[INSTANT]],[1]dataset_2!$A:$G,5,0)</f>
        <v>3</v>
      </c>
      <c r="S147" s="38">
        <f>VLOOKUP(Table1[[#This Row],[INSTANT]],[1]dataset_2!$A:$G,6,0)</f>
        <v>92</v>
      </c>
      <c r="T147" s="38">
        <f>VLOOKUP(Table1[[#This Row],[INSTANT]],[1]dataset_2!$A:$G,7,0)</f>
        <v>95</v>
      </c>
    </row>
    <row r="148" spans="1:20" ht="13" x14ac:dyDescent="0.15">
      <c r="A148" s="35">
        <v>147</v>
      </c>
      <c r="B148" s="27">
        <v>40550</v>
      </c>
      <c r="C148" s="8" t="str">
        <f t="shared" si="4"/>
        <v>2011</v>
      </c>
      <c r="D148" s="8" t="str">
        <f t="shared" si="5"/>
        <v>07</v>
      </c>
      <c r="E148" s="7">
        <v>1</v>
      </c>
      <c r="F148" s="7">
        <v>0</v>
      </c>
      <c r="G148" s="7">
        <v>1</v>
      </c>
      <c r="H148" s="7">
        <v>9</v>
      </c>
      <c r="I148" s="7" t="b">
        <v>0</v>
      </c>
      <c r="J148" s="22">
        <f>--Table1[[#This Row],[HOLIDAY]]</f>
        <v>0</v>
      </c>
      <c r="K148" s="9">
        <v>5</v>
      </c>
      <c r="L148" s="7">
        <v>1</v>
      </c>
      <c r="M148" s="7">
        <f>LEN(TEXT(Table1[[#This Row],[WEATHER]],"0"))</f>
        <v>1</v>
      </c>
      <c r="N148" s="36">
        <v>0.2</v>
      </c>
      <c r="O148" s="37">
        <f>VLOOKUP(Table1[[#This Row],[INSTANT]],[1]dataset_2!$A:$G,2,FALSE)</f>
        <v>0.21210000000000001</v>
      </c>
      <c r="P148" s="37">
        <f>VLOOKUP(Table1[[#This Row],[INSTANT]],[1]dataset_2!$A:$G,3,0)</f>
        <v>0.47</v>
      </c>
      <c r="Q148" s="37">
        <f>VLOOKUP(Table1[[#This Row],[INSTANT]],[1]dataset_2!$A:$D,4,FALSE)</f>
        <v>0.1045</v>
      </c>
      <c r="R148" s="37">
        <f>VLOOKUP(Table1[[#This Row],[INSTANT]],[1]dataset_2!$A:$G,5,0)</f>
        <v>1</v>
      </c>
      <c r="S148" s="38">
        <f>VLOOKUP(Table1[[#This Row],[INSTANT]],[1]dataset_2!$A:$G,6,0)</f>
        <v>50</v>
      </c>
      <c r="T148" s="38">
        <f>VLOOKUP(Table1[[#This Row],[INSTANT]],[1]dataset_2!$A:$G,7,0)</f>
        <v>51</v>
      </c>
    </row>
    <row r="149" spans="1:20" ht="13" x14ac:dyDescent="0.15">
      <c r="A149" s="35">
        <v>148</v>
      </c>
      <c r="B149" s="27">
        <v>40550</v>
      </c>
      <c r="C149" s="8" t="str">
        <f t="shared" si="4"/>
        <v>2011</v>
      </c>
      <c r="D149" s="8" t="str">
        <f t="shared" si="5"/>
        <v>07</v>
      </c>
      <c r="E149" s="7">
        <v>1</v>
      </c>
      <c r="F149" s="7">
        <v>0</v>
      </c>
      <c r="G149" s="7">
        <v>1</v>
      </c>
      <c r="H149" s="7">
        <v>10</v>
      </c>
      <c r="I149" s="7" t="b">
        <v>0</v>
      </c>
      <c r="J149" s="22">
        <f>--Table1[[#This Row],[HOLIDAY]]</f>
        <v>0</v>
      </c>
      <c r="K149" s="9">
        <v>5</v>
      </c>
      <c r="L149" s="7">
        <v>1</v>
      </c>
      <c r="M149" s="7">
        <f>LEN(TEXT(Table1[[#This Row],[WEATHER]],"0"))</f>
        <v>1</v>
      </c>
      <c r="N149" s="36">
        <v>0.22</v>
      </c>
      <c r="O149" s="37">
        <f>VLOOKUP(Table1[[#This Row],[INSTANT]],[1]dataset_2!$A:$G,2,FALSE)</f>
        <v>0.19700000000000001</v>
      </c>
      <c r="P149" s="37">
        <f>VLOOKUP(Table1[[#This Row],[INSTANT]],[1]dataset_2!$A:$G,3,0)</f>
        <v>0.47</v>
      </c>
      <c r="Q149" s="37">
        <f>VLOOKUP(Table1[[#This Row],[INSTANT]],[1]dataset_2!$A:$D,4,FALSE)</f>
        <v>0.1343</v>
      </c>
      <c r="R149" s="37">
        <f>VLOOKUP(Table1[[#This Row],[INSTANT]],[1]dataset_2!$A:$G,5,0)</f>
        <v>0</v>
      </c>
      <c r="S149" s="38">
        <f>VLOOKUP(Table1[[#This Row],[INSTANT]],[1]dataset_2!$A:$G,6,0)</f>
        <v>39</v>
      </c>
      <c r="T149" s="38">
        <f>VLOOKUP(Table1[[#This Row],[INSTANT]],[1]dataset_2!$A:$G,7,0)</f>
        <v>39</v>
      </c>
    </row>
    <row r="150" spans="1:20" ht="13" x14ac:dyDescent="0.15">
      <c r="A150" s="35">
        <v>149</v>
      </c>
      <c r="B150" s="27">
        <v>40550</v>
      </c>
      <c r="C150" s="8" t="str">
        <f t="shared" si="4"/>
        <v>2011</v>
      </c>
      <c r="D150" s="8" t="str">
        <f t="shared" si="5"/>
        <v>07</v>
      </c>
      <c r="E150" s="7">
        <v>1</v>
      </c>
      <c r="F150" s="7">
        <v>0</v>
      </c>
      <c r="G150" s="7">
        <v>1</v>
      </c>
      <c r="H150" s="7">
        <v>11</v>
      </c>
      <c r="I150" s="7" t="b">
        <v>0</v>
      </c>
      <c r="J150" s="22">
        <f>--Table1[[#This Row],[HOLIDAY]]</f>
        <v>0</v>
      </c>
      <c r="K150" s="9">
        <v>5</v>
      </c>
      <c r="L150" s="7">
        <v>2</v>
      </c>
      <c r="M150" s="7">
        <f>LEN(TEXT(Table1[[#This Row],[WEATHER]],"0"))</f>
        <v>1</v>
      </c>
      <c r="N150" s="36">
        <v>0.2</v>
      </c>
      <c r="O150" s="37">
        <f>VLOOKUP(Table1[[#This Row],[INSTANT]],[1]dataset_2!$A:$G,2,FALSE)</f>
        <v>0.19700000000000001</v>
      </c>
      <c r="P150" s="37">
        <f>VLOOKUP(Table1[[#This Row],[INSTANT]],[1]dataset_2!$A:$G,3,0)</f>
        <v>0.43</v>
      </c>
      <c r="Q150" s="37">
        <f>VLOOKUP(Table1[[#This Row],[INSTANT]],[1]dataset_2!$A:$D,4,FALSE)</f>
        <v>0.16420000000000001</v>
      </c>
      <c r="R150" s="37">
        <f>VLOOKUP(Table1[[#This Row],[INSTANT]],[1]dataset_2!$A:$G,5,0)</f>
        <v>2</v>
      </c>
      <c r="S150" s="38">
        <f>VLOOKUP(Table1[[#This Row],[INSTANT]],[1]dataset_2!$A:$G,6,0)</f>
        <v>34</v>
      </c>
      <c r="T150" s="38">
        <f>VLOOKUP(Table1[[#This Row],[INSTANT]],[1]dataset_2!$A:$G,7,0)</f>
        <v>36</v>
      </c>
    </row>
    <row r="151" spans="1:20" ht="13" x14ac:dyDescent="0.15">
      <c r="A151" s="35">
        <v>150</v>
      </c>
      <c r="B151" s="27">
        <v>40550</v>
      </c>
      <c r="C151" s="8" t="str">
        <f t="shared" si="4"/>
        <v>2011</v>
      </c>
      <c r="D151" s="8" t="str">
        <f t="shared" si="5"/>
        <v>07</v>
      </c>
      <c r="E151" s="7">
        <v>1</v>
      </c>
      <c r="F151" s="7">
        <v>0</v>
      </c>
      <c r="G151" s="7">
        <v>1</v>
      </c>
      <c r="H151" s="7">
        <v>12</v>
      </c>
      <c r="I151" s="7" t="b">
        <v>0</v>
      </c>
      <c r="J151" s="22">
        <f>--Table1[[#This Row],[HOLIDAY]]</f>
        <v>0</v>
      </c>
      <c r="K151" s="9">
        <v>5</v>
      </c>
      <c r="L151" s="7">
        <v>2</v>
      </c>
      <c r="M151" s="7">
        <f>LEN(TEXT(Table1[[#This Row],[WEATHER]],"0"))</f>
        <v>1</v>
      </c>
      <c r="N151" s="36">
        <v>0.2</v>
      </c>
      <c r="O151" s="37">
        <f>VLOOKUP(Table1[[#This Row],[INSTANT]],[1]dataset_2!$A:$G,2,FALSE)</f>
        <v>0.19700000000000001</v>
      </c>
      <c r="P151" s="37">
        <f>VLOOKUP(Table1[[#This Row],[INSTANT]],[1]dataset_2!$A:$G,3,0)</f>
        <v>0.51</v>
      </c>
      <c r="Q151" s="37">
        <f>VLOOKUP(Table1[[#This Row],[INSTANT]],[1]dataset_2!$A:$D,4,FALSE)</f>
        <v>0.16420000000000001</v>
      </c>
      <c r="R151" s="37">
        <f>VLOOKUP(Table1[[#This Row],[INSTANT]],[1]dataset_2!$A:$G,5,0)</f>
        <v>1</v>
      </c>
      <c r="S151" s="38">
        <f>VLOOKUP(Table1[[#This Row],[INSTANT]],[1]dataset_2!$A:$G,6,0)</f>
        <v>14</v>
      </c>
      <c r="T151" s="38">
        <f>VLOOKUP(Table1[[#This Row],[INSTANT]],[1]dataset_2!$A:$G,7,0)</f>
        <v>15</v>
      </c>
    </row>
    <row r="152" spans="1:20" ht="13" x14ac:dyDescent="0.15">
      <c r="A152" s="35">
        <v>151</v>
      </c>
      <c r="B152" s="27">
        <v>40550</v>
      </c>
      <c r="C152" s="8" t="str">
        <f t="shared" si="4"/>
        <v>2011</v>
      </c>
      <c r="D152" s="8" t="str">
        <f t="shared" si="5"/>
        <v>07</v>
      </c>
      <c r="E152" s="7">
        <v>1</v>
      </c>
      <c r="F152" s="7">
        <v>0</v>
      </c>
      <c r="G152" s="7">
        <v>1</v>
      </c>
      <c r="H152" s="7">
        <v>13</v>
      </c>
      <c r="I152" s="7" t="b">
        <v>0</v>
      </c>
      <c r="J152" s="22">
        <f>--Table1[[#This Row],[HOLIDAY]]</f>
        <v>0</v>
      </c>
      <c r="K152" s="9">
        <v>5</v>
      </c>
      <c r="L152" s="7">
        <v>2</v>
      </c>
      <c r="M152" s="7">
        <f>LEN(TEXT(Table1[[#This Row],[WEATHER]],"0"))</f>
        <v>1</v>
      </c>
      <c r="N152" s="36">
        <v>0.2</v>
      </c>
      <c r="O152" s="37">
        <f>VLOOKUP(Table1[[#This Row],[INSTANT]],[1]dataset_2!$A:$G,2,FALSE)</f>
        <v>0.19700000000000001</v>
      </c>
      <c r="P152" s="37">
        <f>VLOOKUP(Table1[[#This Row],[INSTANT]],[1]dataset_2!$A:$G,3,0)</f>
        <v>0.51</v>
      </c>
      <c r="Q152" s="37">
        <f>VLOOKUP(Table1[[#This Row],[INSTANT]],[1]dataset_2!$A:$D,4,FALSE)</f>
        <v>0.16420000000000001</v>
      </c>
      <c r="R152" s="37">
        <f>VLOOKUP(Table1[[#This Row],[INSTANT]],[1]dataset_2!$A:$G,5,0)</f>
        <v>1</v>
      </c>
      <c r="S152" s="38">
        <f>VLOOKUP(Table1[[#This Row],[INSTANT]],[1]dataset_2!$A:$G,6,0)</f>
        <v>24</v>
      </c>
      <c r="T152" s="38">
        <f>VLOOKUP(Table1[[#This Row],[INSTANT]],[1]dataset_2!$A:$G,7,0)</f>
        <v>25</v>
      </c>
    </row>
    <row r="153" spans="1:20" ht="13" x14ac:dyDescent="0.15">
      <c r="A153" s="35">
        <v>152</v>
      </c>
      <c r="B153" s="27">
        <v>40550</v>
      </c>
      <c r="C153" s="8" t="str">
        <f t="shared" si="4"/>
        <v>2011</v>
      </c>
      <c r="D153" s="8" t="str">
        <f t="shared" si="5"/>
        <v>07</v>
      </c>
      <c r="E153" s="7">
        <v>1</v>
      </c>
      <c r="F153" s="7">
        <v>0</v>
      </c>
      <c r="G153" s="7">
        <v>1</v>
      </c>
      <c r="H153" s="7">
        <v>14</v>
      </c>
      <c r="I153" s="7" t="b">
        <v>0</v>
      </c>
      <c r="J153" s="22">
        <f>--Table1[[#This Row],[HOLIDAY]]</f>
        <v>0</v>
      </c>
      <c r="K153" s="9">
        <v>5</v>
      </c>
      <c r="L153" s="7">
        <v>2</v>
      </c>
      <c r="M153" s="7">
        <f>LEN(TEXT(Table1[[#This Row],[WEATHER]],"0"))</f>
        <v>1</v>
      </c>
      <c r="N153" s="36">
        <v>0.2</v>
      </c>
      <c r="O153" s="37">
        <f>VLOOKUP(Table1[[#This Row],[INSTANT]],[1]dataset_2!$A:$G,2,FALSE)</f>
        <v>0.21210000000000001</v>
      </c>
      <c r="P153" s="37">
        <f>VLOOKUP(Table1[[#This Row],[INSTANT]],[1]dataset_2!$A:$G,3,0)</f>
        <v>0.55000000000000004</v>
      </c>
      <c r="Q153" s="37">
        <f>VLOOKUP(Table1[[#This Row],[INSTANT]],[1]dataset_2!$A:$D,4,FALSE)</f>
        <v>8.9599999999999999E-2</v>
      </c>
      <c r="R153" s="37">
        <f>VLOOKUP(Table1[[#This Row],[INSTANT]],[1]dataset_2!$A:$G,5,0)</f>
        <v>1</v>
      </c>
      <c r="S153" s="38">
        <f>VLOOKUP(Table1[[#This Row],[INSTANT]],[1]dataset_2!$A:$G,6,0)</f>
        <v>15</v>
      </c>
      <c r="T153" s="38">
        <f>VLOOKUP(Table1[[#This Row],[INSTANT]],[1]dataset_2!$A:$G,7,0)</f>
        <v>16</v>
      </c>
    </row>
    <row r="154" spans="1:20" ht="13" x14ac:dyDescent="0.15">
      <c r="A154" s="35">
        <v>153</v>
      </c>
      <c r="B154" s="27">
        <v>40550</v>
      </c>
      <c r="C154" s="8" t="str">
        <f t="shared" si="4"/>
        <v>2011</v>
      </c>
      <c r="D154" s="8" t="str">
        <f t="shared" si="5"/>
        <v>07</v>
      </c>
      <c r="E154" s="7">
        <v>1</v>
      </c>
      <c r="F154" s="7">
        <v>0</v>
      </c>
      <c r="G154" s="7">
        <v>1</v>
      </c>
      <c r="H154" s="7">
        <v>15</v>
      </c>
      <c r="I154" s="7" t="b">
        <v>0</v>
      </c>
      <c r="J154" s="22">
        <f>--Table1[[#This Row],[HOLIDAY]]</f>
        <v>0</v>
      </c>
      <c r="K154" s="9">
        <v>5</v>
      </c>
      <c r="L154" s="7">
        <v>2</v>
      </c>
      <c r="M154" s="7">
        <f>LEN(TEXT(Table1[[#This Row],[WEATHER]],"0"))</f>
        <v>1</v>
      </c>
      <c r="N154" s="36">
        <v>0.2</v>
      </c>
      <c r="O154" s="37">
        <f>VLOOKUP(Table1[[#This Row],[INSTANT]],[1]dataset_2!$A:$G,2,FALSE)</f>
        <v>0.2424</v>
      </c>
      <c r="P154" s="37">
        <f>VLOOKUP(Table1[[#This Row],[INSTANT]],[1]dataset_2!$A:$G,3,0)</f>
        <v>0.55000000000000004</v>
      </c>
      <c r="Q154" s="37">
        <f>VLOOKUP(Table1[[#This Row],[INSTANT]],[1]dataset_2!$A:$D,4,FALSE)</f>
        <v>0</v>
      </c>
      <c r="R154" s="37">
        <f>VLOOKUP(Table1[[#This Row],[INSTANT]],[1]dataset_2!$A:$G,5,0)</f>
        <v>3</v>
      </c>
      <c r="S154" s="38">
        <f>VLOOKUP(Table1[[#This Row],[INSTANT]],[1]dataset_2!$A:$G,6,0)</f>
        <v>13</v>
      </c>
      <c r="T154" s="38">
        <f>VLOOKUP(Table1[[#This Row],[INSTANT]],[1]dataset_2!$A:$G,7,0)</f>
        <v>16</v>
      </c>
    </row>
    <row r="155" spans="1:20" ht="13" x14ac:dyDescent="0.15">
      <c r="A155" s="35">
        <v>154</v>
      </c>
      <c r="B155" s="27">
        <v>40550</v>
      </c>
      <c r="C155" s="8" t="str">
        <f t="shared" si="4"/>
        <v>2011</v>
      </c>
      <c r="D155" s="8" t="str">
        <f t="shared" si="5"/>
        <v>07</v>
      </c>
      <c r="E155" s="7">
        <v>1</v>
      </c>
      <c r="F155" s="7">
        <v>0</v>
      </c>
      <c r="G155" s="7">
        <v>1</v>
      </c>
      <c r="H155" s="7">
        <v>16</v>
      </c>
      <c r="I155" s="7" t="b">
        <v>0</v>
      </c>
      <c r="J155" s="22">
        <f>--Table1[[#This Row],[HOLIDAY]]</f>
        <v>0</v>
      </c>
      <c r="K155" s="9">
        <v>5</v>
      </c>
      <c r="L155" s="7">
        <v>2</v>
      </c>
      <c r="M155" s="7">
        <f>LEN(TEXT(Table1[[#This Row],[WEATHER]],"0"))</f>
        <v>1</v>
      </c>
      <c r="N155" s="36">
        <v>0.2</v>
      </c>
      <c r="O155" s="37">
        <f>VLOOKUP(Table1[[#This Row],[INSTANT]],[1]dataset_2!$A:$G,2,FALSE)</f>
        <v>0.19700000000000001</v>
      </c>
      <c r="P155" s="37">
        <f>VLOOKUP(Table1[[#This Row],[INSTANT]],[1]dataset_2!$A:$G,3,0)</f>
        <v>0.55000000000000004</v>
      </c>
      <c r="Q155" s="37">
        <f>VLOOKUP(Table1[[#This Row],[INSTANT]],[1]dataset_2!$A:$D,4,FALSE)</f>
        <v>0.16420000000000001</v>
      </c>
      <c r="R155" s="37">
        <f>VLOOKUP(Table1[[#This Row],[INSTANT]],[1]dataset_2!$A:$G,5,0)</f>
        <v>0</v>
      </c>
      <c r="S155" s="38">
        <f>VLOOKUP(Table1[[#This Row],[INSTANT]],[1]dataset_2!$A:$G,6,0)</f>
        <v>7</v>
      </c>
      <c r="T155" s="38">
        <f>VLOOKUP(Table1[[#This Row],[INSTANT]],[1]dataset_2!$A:$G,7,0)</f>
        <v>7</v>
      </c>
    </row>
    <row r="156" spans="1:20" ht="13" x14ac:dyDescent="0.15">
      <c r="A156" s="35">
        <v>155</v>
      </c>
      <c r="B156" s="27">
        <v>40550</v>
      </c>
      <c r="C156" s="8" t="str">
        <f t="shared" si="4"/>
        <v>2011</v>
      </c>
      <c r="D156" s="8" t="str">
        <f t="shared" si="5"/>
        <v>07</v>
      </c>
      <c r="E156" s="7">
        <v>1</v>
      </c>
      <c r="F156" s="7">
        <v>0</v>
      </c>
      <c r="G156" s="7">
        <v>1</v>
      </c>
      <c r="H156" s="7">
        <v>17</v>
      </c>
      <c r="I156" s="7" t="b">
        <v>0</v>
      </c>
      <c r="J156" s="22">
        <f>--Table1[[#This Row],[HOLIDAY]]</f>
        <v>0</v>
      </c>
      <c r="K156" s="9">
        <v>5</v>
      </c>
      <c r="L156" s="7">
        <v>2</v>
      </c>
      <c r="M156" s="7">
        <f>LEN(TEXT(Table1[[#This Row],[WEATHER]],"0"))</f>
        <v>1</v>
      </c>
      <c r="N156" s="36">
        <v>0.2</v>
      </c>
      <c r="O156" s="37">
        <f>VLOOKUP(Table1[[#This Row],[INSTANT]],[1]dataset_2!$A:$G,2,FALSE)</f>
        <v>0.19700000000000001</v>
      </c>
      <c r="P156" s="37">
        <f>VLOOKUP(Table1[[#This Row],[INSTANT]],[1]dataset_2!$A:$G,3,0)</f>
        <v>0.55000000000000004</v>
      </c>
      <c r="Q156" s="37">
        <f>VLOOKUP(Table1[[#This Row],[INSTANT]],[1]dataset_2!$A:$D,4,FALSE)</f>
        <v>0.16420000000000001</v>
      </c>
      <c r="R156" s="37">
        <f>VLOOKUP(Table1[[#This Row],[INSTANT]],[1]dataset_2!$A:$G,5,0)</f>
        <v>0</v>
      </c>
      <c r="S156" s="38">
        <f>VLOOKUP(Table1[[#This Row],[INSTANT]],[1]dataset_2!$A:$G,6,0)</f>
        <v>1</v>
      </c>
      <c r="T156" s="38">
        <f>VLOOKUP(Table1[[#This Row],[INSTANT]],[1]dataset_2!$A:$G,7,0)</f>
        <v>1</v>
      </c>
    </row>
    <row r="157" spans="1:20" ht="13" x14ac:dyDescent="0.15">
      <c r="A157" s="35">
        <v>156</v>
      </c>
      <c r="B157" s="27">
        <v>40550</v>
      </c>
      <c r="C157" s="8" t="str">
        <f t="shared" si="4"/>
        <v>2011</v>
      </c>
      <c r="D157" s="8" t="str">
        <f t="shared" si="5"/>
        <v>07</v>
      </c>
      <c r="E157" s="7">
        <v>1</v>
      </c>
      <c r="F157" s="7">
        <v>0</v>
      </c>
      <c r="G157" s="7">
        <v>1</v>
      </c>
      <c r="H157" s="7">
        <v>18</v>
      </c>
      <c r="I157" s="7" t="b">
        <v>0</v>
      </c>
      <c r="J157" s="22">
        <f>--Table1[[#This Row],[HOLIDAY]]</f>
        <v>0</v>
      </c>
      <c r="K157" s="9">
        <v>5</v>
      </c>
      <c r="L157" s="7">
        <v>1</v>
      </c>
      <c r="M157" s="7">
        <f>LEN(TEXT(Table1[[#This Row],[WEATHER]],"0"))</f>
        <v>1</v>
      </c>
      <c r="N157" s="36">
        <v>0.2</v>
      </c>
      <c r="O157" s="37">
        <f>VLOOKUP(Table1[[#This Row],[INSTANT]],[1]dataset_2!$A:$G,2,FALSE)</f>
        <v>0.16669999999999999</v>
      </c>
      <c r="P157" s="37">
        <f>VLOOKUP(Table1[[#This Row],[INSTANT]],[1]dataset_2!$A:$G,3,0)</f>
        <v>0.74</v>
      </c>
      <c r="Q157" s="37">
        <f>VLOOKUP(Table1[[#This Row],[INSTANT]],[1]dataset_2!$A:$D,4,FALSE)</f>
        <v>0.16420000000000001</v>
      </c>
      <c r="R157" s="37">
        <f>VLOOKUP(Table1[[#This Row],[INSTANT]],[1]dataset_2!$A:$G,5,0)</f>
        <v>0</v>
      </c>
      <c r="S157" s="38">
        <f>VLOOKUP(Table1[[#This Row],[INSTANT]],[1]dataset_2!$A:$G,6,0)</f>
        <v>5</v>
      </c>
      <c r="T157" s="38">
        <f>VLOOKUP(Table1[[#This Row],[INSTANT]],[1]dataset_2!$A:$G,7,0)</f>
        <v>5</v>
      </c>
    </row>
    <row r="158" spans="1:20" ht="13" x14ac:dyDescent="0.15">
      <c r="A158" s="35">
        <v>157</v>
      </c>
      <c r="B158" s="27">
        <v>40550</v>
      </c>
      <c r="C158" s="8" t="str">
        <f t="shared" si="4"/>
        <v>2011</v>
      </c>
      <c r="D158" s="8" t="str">
        <f t="shared" si="5"/>
        <v>07</v>
      </c>
      <c r="E158" s="7">
        <v>1</v>
      </c>
      <c r="F158" s="7">
        <v>0</v>
      </c>
      <c r="G158" s="7">
        <v>1</v>
      </c>
      <c r="H158" s="7">
        <v>19</v>
      </c>
      <c r="I158" s="7" t="b">
        <v>0</v>
      </c>
      <c r="J158" s="22">
        <f>--Table1[[#This Row],[HOLIDAY]]</f>
        <v>0</v>
      </c>
      <c r="K158" s="9">
        <v>5</v>
      </c>
      <c r="L158" s="7">
        <v>1</v>
      </c>
      <c r="M158" s="7">
        <f>LEN(TEXT(Table1[[#This Row],[WEATHER]],"0"))</f>
        <v>1</v>
      </c>
      <c r="N158" s="36">
        <v>0.16</v>
      </c>
      <c r="O158" s="37">
        <f>VLOOKUP(Table1[[#This Row],[INSTANT]],[1]dataset_2!$A:$G,2,FALSE)</f>
        <v>0.16669999999999999</v>
      </c>
      <c r="P158" s="37">
        <f>VLOOKUP(Table1[[#This Row],[INSTANT]],[1]dataset_2!$A:$G,3,0)</f>
        <v>0.74</v>
      </c>
      <c r="Q158" s="37">
        <f>VLOOKUP(Table1[[#This Row],[INSTANT]],[1]dataset_2!$A:$D,4,FALSE)</f>
        <v>0.16420000000000001</v>
      </c>
      <c r="R158" s="37">
        <f>VLOOKUP(Table1[[#This Row],[INSTANT]],[1]dataset_2!$A:$G,5,0)</f>
        <v>0</v>
      </c>
      <c r="S158" s="38">
        <f>VLOOKUP(Table1[[#This Row],[INSTANT]],[1]dataset_2!$A:$G,6,0)</f>
        <v>2</v>
      </c>
      <c r="T158" s="38">
        <f>VLOOKUP(Table1[[#This Row],[INSTANT]],[1]dataset_2!$A:$G,7,0)</f>
        <v>2</v>
      </c>
    </row>
    <row r="159" spans="1:20" ht="13" x14ac:dyDescent="0.15">
      <c r="A159" s="35">
        <v>158</v>
      </c>
      <c r="B159" s="27">
        <v>40550</v>
      </c>
      <c r="C159" s="8" t="str">
        <f t="shared" si="4"/>
        <v>2011</v>
      </c>
      <c r="D159" s="8" t="str">
        <f t="shared" si="5"/>
        <v>07</v>
      </c>
      <c r="E159" s="7">
        <v>1</v>
      </c>
      <c r="F159" s="7">
        <v>0</v>
      </c>
      <c r="G159" s="7">
        <v>1</v>
      </c>
      <c r="H159" s="7">
        <v>20</v>
      </c>
      <c r="I159" s="7" t="b">
        <v>0</v>
      </c>
      <c r="J159" s="22">
        <f>--Table1[[#This Row],[HOLIDAY]]</f>
        <v>0</v>
      </c>
      <c r="K159" s="9">
        <v>5</v>
      </c>
      <c r="L159" s="7">
        <v>1</v>
      </c>
      <c r="M159" s="7">
        <f>LEN(TEXT(Table1[[#This Row],[WEATHER]],"0"))</f>
        <v>1</v>
      </c>
      <c r="N159" s="36">
        <v>0.18</v>
      </c>
      <c r="O159" s="37">
        <f>VLOOKUP(Table1[[#This Row],[INSTANT]],[1]dataset_2!$A:$G,2,FALSE)</f>
        <v>0.18179999999999999</v>
      </c>
      <c r="P159" s="37">
        <f>VLOOKUP(Table1[[#This Row],[INSTANT]],[1]dataset_2!$A:$G,3,0)</f>
        <v>0.74</v>
      </c>
      <c r="Q159" s="37">
        <f>VLOOKUP(Table1[[#This Row],[INSTANT]],[1]dataset_2!$A:$D,4,FALSE)</f>
        <v>0.1045</v>
      </c>
      <c r="R159" s="37">
        <f>VLOOKUP(Table1[[#This Row],[INSTANT]],[1]dataset_2!$A:$G,5,0)</f>
        <v>1</v>
      </c>
      <c r="S159" s="38">
        <f>VLOOKUP(Table1[[#This Row],[INSTANT]],[1]dataset_2!$A:$G,6,0)</f>
        <v>8</v>
      </c>
      <c r="T159" s="38">
        <f>VLOOKUP(Table1[[#This Row],[INSTANT]],[1]dataset_2!$A:$G,7,0)</f>
        <v>9</v>
      </c>
    </row>
    <row r="160" spans="1:20" ht="13" x14ac:dyDescent="0.15">
      <c r="A160" s="35">
        <v>159</v>
      </c>
      <c r="B160" s="27">
        <v>40550</v>
      </c>
      <c r="C160" s="8" t="str">
        <f t="shared" si="4"/>
        <v>2011</v>
      </c>
      <c r="D160" s="8" t="str">
        <f t="shared" si="5"/>
        <v>07</v>
      </c>
      <c r="E160" s="7">
        <v>1</v>
      </c>
      <c r="F160" s="7">
        <v>0</v>
      </c>
      <c r="G160" s="7">
        <v>1</v>
      </c>
      <c r="H160" s="7">
        <v>21</v>
      </c>
      <c r="I160" s="7" t="b">
        <v>0</v>
      </c>
      <c r="J160" s="22">
        <f>--Table1[[#This Row],[HOLIDAY]]</f>
        <v>0</v>
      </c>
      <c r="K160" s="9">
        <v>5</v>
      </c>
      <c r="L160" s="7">
        <v>1</v>
      </c>
      <c r="M160" s="7">
        <f>LEN(TEXT(Table1[[#This Row],[WEATHER]],"0"))</f>
        <v>1</v>
      </c>
      <c r="N160" s="36">
        <v>0.18</v>
      </c>
      <c r="O160" s="37">
        <f>VLOOKUP(Table1[[#This Row],[INSTANT]],[1]dataset_2!$A:$G,2,FALSE)</f>
        <v>0.18179999999999999</v>
      </c>
      <c r="P160" s="37">
        <f>VLOOKUP(Table1[[#This Row],[INSTANT]],[1]dataset_2!$A:$G,3,0)</f>
        <v>0.93</v>
      </c>
      <c r="Q160" s="37">
        <f>VLOOKUP(Table1[[#This Row],[INSTANT]],[1]dataset_2!$A:$D,4,FALSE)</f>
        <v>0.1045</v>
      </c>
      <c r="R160" s="37">
        <f>VLOOKUP(Table1[[#This Row],[INSTANT]],[1]dataset_2!$A:$G,5,0)</f>
        <v>0</v>
      </c>
      <c r="S160" s="38">
        <f>VLOOKUP(Table1[[#This Row],[INSTANT]],[1]dataset_2!$A:$G,6,0)</f>
        <v>15</v>
      </c>
      <c r="T160" s="38">
        <f>VLOOKUP(Table1[[#This Row],[INSTANT]],[1]dataset_2!$A:$G,7,0)</f>
        <v>15</v>
      </c>
    </row>
    <row r="161" spans="1:20" ht="13" x14ac:dyDescent="0.15">
      <c r="A161" s="35">
        <v>160</v>
      </c>
      <c r="B161" s="27">
        <v>40550</v>
      </c>
      <c r="C161" s="8" t="str">
        <f t="shared" si="4"/>
        <v>2011</v>
      </c>
      <c r="D161" s="8" t="str">
        <f t="shared" si="5"/>
        <v>07</v>
      </c>
      <c r="E161" s="7">
        <v>1</v>
      </c>
      <c r="F161" s="7">
        <v>0</v>
      </c>
      <c r="G161" s="7">
        <v>1</v>
      </c>
      <c r="H161" s="7">
        <v>22</v>
      </c>
      <c r="I161" s="7" t="b">
        <v>0</v>
      </c>
      <c r="J161" s="22">
        <f>--Table1[[#This Row],[HOLIDAY]]</f>
        <v>0</v>
      </c>
      <c r="K161" s="9">
        <v>5</v>
      </c>
      <c r="L161" s="7">
        <v>2</v>
      </c>
      <c r="M161" s="7">
        <f>LEN(TEXT(Table1[[#This Row],[WEATHER]],"0"))</f>
        <v>1</v>
      </c>
      <c r="N161" s="36">
        <v>0.18</v>
      </c>
      <c r="O161" s="37">
        <f>VLOOKUP(Table1[[#This Row],[INSTANT]],[1]dataset_2!$A:$G,2,FALSE)</f>
        <v>0.18179999999999999</v>
      </c>
      <c r="P161" s="37">
        <f>VLOOKUP(Table1[[#This Row],[INSTANT]],[1]dataset_2!$A:$G,3,0)</f>
        <v>0.93</v>
      </c>
      <c r="Q161" s="37">
        <f>VLOOKUP(Table1[[#This Row],[INSTANT]],[1]dataset_2!$A:$D,4,FALSE)</f>
        <v>0.1045</v>
      </c>
      <c r="R161" s="37">
        <f>VLOOKUP(Table1[[#This Row],[INSTANT]],[1]dataset_2!$A:$G,5,0)</f>
        <v>0</v>
      </c>
      <c r="S161" s="38">
        <f>VLOOKUP(Table1[[#This Row],[INSTANT]],[1]dataset_2!$A:$G,6,0)</f>
        <v>20</v>
      </c>
      <c r="T161" s="38">
        <f>VLOOKUP(Table1[[#This Row],[INSTANT]],[1]dataset_2!$A:$G,7,0)</f>
        <v>20</v>
      </c>
    </row>
    <row r="162" spans="1:20" ht="13" x14ac:dyDescent="0.15">
      <c r="A162" s="35">
        <v>161</v>
      </c>
      <c r="B162" s="27">
        <v>40550</v>
      </c>
      <c r="C162" s="8" t="str">
        <f t="shared" si="4"/>
        <v>2011</v>
      </c>
      <c r="D162" s="8" t="str">
        <f t="shared" si="5"/>
        <v>07</v>
      </c>
      <c r="E162" s="7">
        <v>1</v>
      </c>
      <c r="F162" s="7">
        <v>0</v>
      </c>
      <c r="G162" s="7">
        <v>1</v>
      </c>
      <c r="H162" s="7">
        <v>23</v>
      </c>
      <c r="I162" s="7" t="b">
        <v>0</v>
      </c>
      <c r="J162" s="22">
        <f>--Table1[[#This Row],[HOLIDAY]]</f>
        <v>0</v>
      </c>
      <c r="K162" s="9">
        <v>5</v>
      </c>
      <c r="L162" s="7">
        <v>2</v>
      </c>
      <c r="M162" s="7">
        <f>LEN(TEXT(Table1[[#This Row],[WEATHER]],"0"))</f>
        <v>1</v>
      </c>
      <c r="N162" s="36">
        <v>0.18</v>
      </c>
      <c r="O162" s="37">
        <f>VLOOKUP(Table1[[#This Row],[INSTANT]],[1]dataset_2!$A:$G,2,FALSE)</f>
        <v>0.19700000000000001</v>
      </c>
      <c r="P162" s="37">
        <f>VLOOKUP(Table1[[#This Row],[INSTANT]],[1]dataset_2!$A:$G,3,0)</f>
        <v>0.8</v>
      </c>
      <c r="Q162" s="37">
        <f>VLOOKUP(Table1[[#This Row],[INSTANT]],[1]dataset_2!$A:$D,4,FALSE)</f>
        <v>0.16420000000000001</v>
      </c>
      <c r="R162" s="37">
        <f>VLOOKUP(Table1[[#This Row],[INSTANT]],[1]dataset_2!$A:$G,5,0)</f>
        <v>5</v>
      </c>
      <c r="S162" s="38">
        <f>VLOOKUP(Table1[[#This Row],[INSTANT]],[1]dataset_2!$A:$G,6,0)</f>
        <v>56</v>
      </c>
      <c r="T162" s="38">
        <f>VLOOKUP(Table1[[#This Row],[INSTANT]],[1]dataset_2!$A:$G,7,0)</f>
        <v>61</v>
      </c>
    </row>
    <row r="163" spans="1:20" ht="13" x14ac:dyDescent="0.15">
      <c r="A163" s="35">
        <v>162</v>
      </c>
      <c r="B163" s="27">
        <v>40551</v>
      </c>
      <c r="C163" s="8" t="str">
        <f t="shared" si="4"/>
        <v>2011</v>
      </c>
      <c r="D163" s="8" t="str">
        <f t="shared" si="5"/>
        <v>08</v>
      </c>
      <c r="E163" s="7">
        <v>1</v>
      </c>
      <c r="F163" s="7">
        <v>0</v>
      </c>
      <c r="G163" s="7">
        <v>1</v>
      </c>
      <c r="H163" s="7">
        <v>0</v>
      </c>
      <c r="I163" s="7" t="b">
        <v>0</v>
      </c>
      <c r="J163" s="22">
        <f>--Table1[[#This Row],[HOLIDAY]]</f>
        <v>0</v>
      </c>
      <c r="K163" s="9">
        <v>6</v>
      </c>
      <c r="L163" s="7">
        <v>2</v>
      </c>
      <c r="M163" s="7">
        <f>LEN(TEXT(Table1[[#This Row],[WEATHER]],"0"))</f>
        <v>1</v>
      </c>
      <c r="N163" s="36">
        <v>0.18</v>
      </c>
      <c r="O163" s="37">
        <f>VLOOKUP(Table1[[#This Row],[INSTANT]],[1]dataset_2!$A:$G,2,FALSE)</f>
        <v>0.18179999999999999</v>
      </c>
      <c r="P163" s="37">
        <f>VLOOKUP(Table1[[#This Row],[INSTANT]],[1]dataset_2!$A:$G,3,0)</f>
        <v>0.69</v>
      </c>
      <c r="Q163" s="37">
        <f>VLOOKUP(Table1[[#This Row],[INSTANT]],[1]dataset_2!$A:$D,4,FALSE)</f>
        <v>0.3881</v>
      </c>
      <c r="R163" s="37">
        <f>VLOOKUP(Table1[[#This Row],[INSTANT]],[1]dataset_2!$A:$G,5,0)</f>
        <v>2</v>
      </c>
      <c r="S163" s="38">
        <f>VLOOKUP(Table1[[#This Row],[INSTANT]],[1]dataset_2!$A:$G,6,0)</f>
        <v>60</v>
      </c>
      <c r="T163" s="38">
        <f>VLOOKUP(Table1[[#This Row],[INSTANT]],[1]dataset_2!$A:$G,7,0)</f>
        <v>62</v>
      </c>
    </row>
    <row r="164" spans="1:20" ht="13" x14ac:dyDescent="0.15">
      <c r="A164" s="35">
        <v>163</v>
      </c>
      <c r="B164" s="27">
        <v>40551</v>
      </c>
      <c r="C164" s="8" t="str">
        <f t="shared" si="4"/>
        <v>2011</v>
      </c>
      <c r="D164" s="8" t="str">
        <f t="shared" si="5"/>
        <v>08</v>
      </c>
      <c r="E164" s="7">
        <v>1</v>
      </c>
      <c r="F164" s="7">
        <v>0</v>
      </c>
      <c r="G164" s="7">
        <v>1</v>
      </c>
      <c r="H164" s="7">
        <v>1</v>
      </c>
      <c r="I164" s="7" t="b">
        <v>0</v>
      </c>
      <c r="J164" s="22">
        <f>--Table1[[#This Row],[HOLIDAY]]</f>
        <v>0</v>
      </c>
      <c r="K164" s="9">
        <v>6</v>
      </c>
      <c r="L164" s="7">
        <v>2</v>
      </c>
      <c r="M164" s="7">
        <f>LEN(TEXT(Table1[[#This Row],[WEATHER]],"0"))</f>
        <v>1</v>
      </c>
      <c r="N164" s="36">
        <v>0.18</v>
      </c>
      <c r="O164" s="37">
        <f>VLOOKUP(Table1[[#This Row],[INSTANT]],[1]dataset_2!$A:$G,2,FALSE)</f>
        <v>0.18179999999999999</v>
      </c>
      <c r="P164" s="37">
        <f>VLOOKUP(Table1[[#This Row],[INSTANT]],[1]dataset_2!$A:$G,3,0)</f>
        <v>0.59</v>
      </c>
      <c r="Q164" s="37">
        <f>VLOOKUP(Table1[[#This Row],[INSTANT]],[1]dataset_2!$A:$D,4,FALSE)</f>
        <v>0.35820000000000002</v>
      </c>
      <c r="R164" s="37">
        <f>VLOOKUP(Table1[[#This Row],[INSTANT]],[1]dataset_2!$A:$G,5,0)</f>
        <v>8</v>
      </c>
      <c r="S164" s="38">
        <f>VLOOKUP(Table1[[#This Row],[INSTANT]],[1]dataset_2!$A:$G,6,0)</f>
        <v>90</v>
      </c>
      <c r="T164" s="38">
        <f>VLOOKUP(Table1[[#This Row],[INSTANT]],[1]dataset_2!$A:$G,7,0)</f>
        <v>98</v>
      </c>
    </row>
    <row r="165" spans="1:20" ht="13" x14ac:dyDescent="0.15">
      <c r="A165" s="35">
        <v>164</v>
      </c>
      <c r="B165" s="27">
        <v>40551</v>
      </c>
      <c r="C165" s="8" t="str">
        <f t="shared" si="4"/>
        <v>2011</v>
      </c>
      <c r="D165" s="8" t="str">
        <f t="shared" si="5"/>
        <v>08</v>
      </c>
      <c r="E165" s="7">
        <v>1</v>
      </c>
      <c r="F165" s="7">
        <v>0</v>
      </c>
      <c r="G165" s="7">
        <v>1</v>
      </c>
      <c r="H165" s="7">
        <v>2</v>
      </c>
      <c r="I165" s="7" t="b">
        <v>0</v>
      </c>
      <c r="J165" s="22">
        <f>--Table1[[#This Row],[HOLIDAY]]</f>
        <v>0</v>
      </c>
      <c r="K165" s="9">
        <v>6</v>
      </c>
      <c r="L165" s="7">
        <v>2</v>
      </c>
      <c r="M165" s="7">
        <f>LEN(TEXT(Table1[[#This Row],[WEATHER]],"0"))</f>
        <v>1</v>
      </c>
      <c r="N165" s="36">
        <v>0.18</v>
      </c>
      <c r="O165" s="37">
        <f>VLOOKUP(Table1[[#This Row],[INSTANT]],[1]dataset_2!$A:$G,2,FALSE)</f>
        <v>0.18179999999999999</v>
      </c>
      <c r="P165" s="37">
        <f>VLOOKUP(Table1[[#This Row],[INSTANT]],[1]dataset_2!$A:$G,3,0)</f>
        <v>0.44</v>
      </c>
      <c r="Q165" s="37">
        <f>VLOOKUP(Table1[[#This Row],[INSTANT]],[1]dataset_2!$A:$D,4,FALSE)</f>
        <v>0.32840000000000003</v>
      </c>
      <c r="R165" s="37">
        <f>VLOOKUP(Table1[[#This Row],[INSTANT]],[1]dataset_2!$A:$G,5,0)</f>
        <v>7</v>
      </c>
      <c r="S165" s="38">
        <f>VLOOKUP(Table1[[#This Row],[INSTANT]],[1]dataset_2!$A:$G,6,0)</f>
        <v>95</v>
      </c>
      <c r="T165" s="38">
        <f>VLOOKUP(Table1[[#This Row],[INSTANT]],[1]dataset_2!$A:$G,7,0)</f>
        <v>102</v>
      </c>
    </row>
    <row r="166" spans="1:20" ht="13" x14ac:dyDescent="0.15">
      <c r="A166" s="35">
        <v>165</v>
      </c>
      <c r="B166" s="27">
        <v>40551</v>
      </c>
      <c r="C166" s="8" t="str">
        <f t="shared" si="4"/>
        <v>2011</v>
      </c>
      <c r="D166" s="8" t="str">
        <f t="shared" si="5"/>
        <v>08</v>
      </c>
      <c r="E166" s="7">
        <v>1</v>
      </c>
      <c r="F166" s="7">
        <v>0</v>
      </c>
      <c r="G166" s="7">
        <v>1</v>
      </c>
      <c r="H166" s="7">
        <v>3</v>
      </c>
      <c r="I166" s="7" t="b">
        <v>0</v>
      </c>
      <c r="J166" s="22">
        <f>--Table1[[#This Row],[HOLIDAY]]</f>
        <v>0</v>
      </c>
      <c r="K166" s="9">
        <v>6</v>
      </c>
      <c r="L166" s="7">
        <v>3</v>
      </c>
      <c r="M166" s="7">
        <f>LEN(TEXT(Table1[[#This Row],[WEATHER]],"0"))</f>
        <v>1</v>
      </c>
      <c r="N166" s="36">
        <v>0.18</v>
      </c>
      <c r="O166" s="37">
        <f>VLOOKUP(Table1[[#This Row],[INSTANT]],[1]dataset_2!$A:$G,2,FALSE)</f>
        <v>0.16669999999999999</v>
      </c>
      <c r="P166" s="37">
        <f>VLOOKUP(Table1[[#This Row],[INSTANT]],[1]dataset_2!$A:$G,3,0)</f>
        <v>0.32</v>
      </c>
      <c r="Q166" s="37">
        <f>VLOOKUP(Table1[[#This Row],[INSTANT]],[1]dataset_2!$A:$D,4,FALSE)</f>
        <v>0.49249999999999999</v>
      </c>
      <c r="R166" s="37">
        <f>VLOOKUP(Table1[[#This Row],[INSTANT]],[1]dataset_2!$A:$G,5,0)</f>
        <v>12</v>
      </c>
      <c r="S166" s="38">
        <f>VLOOKUP(Table1[[#This Row],[INSTANT]],[1]dataset_2!$A:$G,6,0)</f>
        <v>83</v>
      </c>
      <c r="T166" s="38">
        <f>VLOOKUP(Table1[[#This Row],[INSTANT]],[1]dataset_2!$A:$G,7,0)</f>
        <v>95</v>
      </c>
    </row>
    <row r="167" spans="1:20" ht="13" x14ac:dyDescent="0.15">
      <c r="A167" s="35">
        <v>166</v>
      </c>
      <c r="B167" s="27">
        <v>40551</v>
      </c>
      <c r="C167" s="8" t="str">
        <f t="shared" si="4"/>
        <v>2011</v>
      </c>
      <c r="D167" s="8" t="str">
        <f t="shared" si="5"/>
        <v>08</v>
      </c>
      <c r="E167" s="7">
        <v>1</v>
      </c>
      <c r="F167" s="7">
        <v>0</v>
      </c>
      <c r="G167" s="7">
        <v>1</v>
      </c>
      <c r="H167" s="7">
        <v>4</v>
      </c>
      <c r="I167" s="7" t="b">
        <v>0</v>
      </c>
      <c r="J167" s="22">
        <f>--Table1[[#This Row],[HOLIDAY]]</f>
        <v>0</v>
      </c>
      <c r="K167" s="9">
        <v>6</v>
      </c>
      <c r="L167" s="7">
        <v>3</v>
      </c>
      <c r="M167" s="7">
        <f>LEN(TEXT(Table1[[#This Row],[WEATHER]],"0"))</f>
        <v>1</v>
      </c>
      <c r="N167" s="36">
        <v>0.18</v>
      </c>
      <c r="O167" s="37">
        <f>VLOOKUP(Table1[[#This Row],[INSTANT]],[1]dataset_2!$A:$G,2,FALSE)</f>
        <v>0.16669999999999999</v>
      </c>
      <c r="P167" s="37">
        <f>VLOOKUP(Table1[[#This Row],[INSTANT]],[1]dataset_2!$A:$G,3,0)</f>
        <v>0.32</v>
      </c>
      <c r="Q167" s="37">
        <f>VLOOKUP(Table1[[#This Row],[INSTANT]],[1]dataset_2!$A:$D,4,FALSE)</f>
        <v>0.44779999999999998</v>
      </c>
      <c r="R167" s="37">
        <f>VLOOKUP(Table1[[#This Row],[INSTANT]],[1]dataset_2!$A:$G,5,0)</f>
        <v>5</v>
      </c>
      <c r="S167" s="38">
        <f>VLOOKUP(Table1[[#This Row],[INSTANT]],[1]dataset_2!$A:$G,6,0)</f>
        <v>69</v>
      </c>
      <c r="T167" s="38">
        <f>VLOOKUP(Table1[[#This Row],[INSTANT]],[1]dataset_2!$A:$G,7,0)</f>
        <v>74</v>
      </c>
    </row>
    <row r="168" spans="1:20" ht="13" x14ac:dyDescent="0.15">
      <c r="A168" s="35">
        <v>167</v>
      </c>
      <c r="B168" s="27">
        <v>40551</v>
      </c>
      <c r="C168" s="8" t="str">
        <f t="shared" si="4"/>
        <v>2011</v>
      </c>
      <c r="D168" s="8" t="str">
        <f t="shared" si="5"/>
        <v>08</v>
      </c>
      <c r="E168" s="7">
        <v>1</v>
      </c>
      <c r="F168" s="7">
        <v>0</v>
      </c>
      <c r="G168" s="7">
        <v>1</v>
      </c>
      <c r="H168" s="7">
        <v>5</v>
      </c>
      <c r="I168" s="7" t="b">
        <v>0</v>
      </c>
      <c r="J168" s="22">
        <f>--Table1[[#This Row],[HOLIDAY]]</f>
        <v>0</v>
      </c>
      <c r="K168" s="9">
        <v>6</v>
      </c>
      <c r="L168" s="7">
        <v>2</v>
      </c>
      <c r="M168" s="7">
        <f>LEN(TEXT(Table1[[#This Row],[WEATHER]],"0"))</f>
        <v>1</v>
      </c>
      <c r="N168" s="36">
        <v>0.16</v>
      </c>
      <c r="O168" s="37">
        <f>VLOOKUP(Table1[[#This Row],[INSTANT]],[1]dataset_2!$A:$G,2,FALSE)</f>
        <v>0.13639999999999999</v>
      </c>
      <c r="P168" s="37">
        <f>VLOOKUP(Table1[[#This Row],[INSTANT]],[1]dataset_2!$A:$G,3,0)</f>
        <v>0.28999999999999998</v>
      </c>
      <c r="Q168" s="37">
        <f>VLOOKUP(Table1[[#This Row],[INSTANT]],[1]dataset_2!$A:$D,4,FALSE)</f>
        <v>0.44779999999999998</v>
      </c>
      <c r="R168" s="37">
        <f>VLOOKUP(Table1[[#This Row],[INSTANT]],[1]dataset_2!$A:$G,5,0)</f>
        <v>8</v>
      </c>
      <c r="S168" s="38">
        <f>VLOOKUP(Table1[[#This Row],[INSTANT]],[1]dataset_2!$A:$G,6,0)</f>
        <v>68</v>
      </c>
      <c r="T168" s="38">
        <f>VLOOKUP(Table1[[#This Row],[INSTANT]],[1]dataset_2!$A:$G,7,0)</f>
        <v>76</v>
      </c>
    </row>
    <row r="169" spans="1:20" ht="13" x14ac:dyDescent="0.15">
      <c r="A169" s="35">
        <v>168</v>
      </c>
      <c r="B169" s="27">
        <v>40551</v>
      </c>
      <c r="C169" s="8" t="str">
        <f t="shared" si="4"/>
        <v>2011</v>
      </c>
      <c r="D169" s="8" t="str">
        <f t="shared" si="5"/>
        <v>08</v>
      </c>
      <c r="E169" s="7">
        <v>1</v>
      </c>
      <c r="F169" s="7">
        <v>0</v>
      </c>
      <c r="G169" s="7">
        <v>1</v>
      </c>
      <c r="H169" s="7">
        <v>6</v>
      </c>
      <c r="I169" s="7" t="b">
        <v>0</v>
      </c>
      <c r="J169" s="22">
        <f>--Table1[[#This Row],[HOLIDAY]]</f>
        <v>0</v>
      </c>
      <c r="K169" s="9">
        <v>6</v>
      </c>
      <c r="L169" s="7">
        <v>2</v>
      </c>
      <c r="M169" s="7">
        <f>LEN(TEXT(Table1[[#This Row],[WEATHER]],"0"))</f>
        <v>1</v>
      </c>
      <c r="N169" s="36">
        <v>0.16</v>
      </c>
      <c r="O169" s="37">
        <f>VLOOKUP(Table1[[#This Row],[INSTANT]],[1]dataset_2!$A:$G,2,FALSE)</f>
        <v>0.1212</v>
      </c>
      <c r="P169" s="37">
        <f>VLOOKUP(Table1[[#This Row],[INSTANT]],[1]dataset_2!$A:$G,3,0)</f>
        <v>0.37</v>
      </c>
      <c r="Q169" s="37">
        <f>VLOOKUP(Table1[[#This Row],[INSTANT]],[1]dataset_2!$A:$D,4,FALSE)</f>
        <v>0.55220000000000002</v>
      </c>
      <c r="R169" s="37">
        <f>VLOOKUP(Table1[[#This Row],[INSTANT]],[1]dataset_2!$A:$G,5,0)</f>
        <v>5</v>
      </c>
      <c r="S169" s="38">
        <f>VLOOKUP(Table1[[#This Row],[INSTANT]],[1]dataset_2!$A:$G,6,0)</f>
        <v>64</v>
      </c>
      <c r="T169" s="38">
        <f>VLOOKUP(Table1[[#This Row],[INSTANT]],[1]dataset_2!$A:$G,7,0)</f>
        <v>69</v>
      </c>
    </row>
    <row r="170" spans="1:20" ht="13" x14ac:dyDescent="0.15">
      <c r="A170" s="35">
        <v>169</v>
      </c>
      <c r="B170" s="27">
        <v>40551</v>
      </c>
      <c r="C170" s="8" t="str">
        <f t="shared" si="4"/>
        <v>2011</v>
      </c>
      <c r="D170" s="8" t="str">
        <f t="shared" si="5"/>
        <v>08</v>
      </c>
      <c r="E170" s="7">
        <v>1</v>
      </c>
      <c r="F170" s="7">
        <v>0</v>
      </c>
      <c r="G170" s="7">
        <v>1</v>
      </c>
      <c r="H170" s="7">
        <v>7</v>
      </c>
      <c r="I170" s="7" t="b">
        <v>0</v>
      </c>
      <c r="J170" s="22">
        <f>--Table1[[#This Row],[HOLIDAY]]</f>
        <v>0</v>
      </c>
      <c r="K170" s="9">
        <v>6</v>
      </c>
      <c r="L170" s="7">
        <v>2</v>
      </c>
      <c r="M170" s="7">
        <f>LEN(TEXT(Table1[[#This Row],[WEATHER]],"0"))</f>
        <v>1</v>
      </c>
      <c r="N170" s="36">
        <v>0.16</v>
      </c>
      <c r="O170" s="37">
        <f>VLOOKUP(Table1[[#This Row],[INSTANT]],[1]dataset_2!$A:$G,2,FALSE)</f>
        <v>0.1212</v>
      </c>
      <c r="P170" s="37">
        <f>VLOOKUP(Table1[[#This Row],[INSTANT]],[1]dataset_2!$A:$G,3,0)</f>
        <v>0.39</v>
      </c>
      <c r="Q170" s="37">
        <f>VLOOKUP(Table1[[#This Row],[INSTANT]],[1]dataset_2!$A:$D,4,FALSE)</f>
        <v>0.29849999999999999</v>
      </c>
      <c r="R170" s="37">
        <f>VLOOKUP(Table1[[#This Row],[INSTANT]],[1]dataset_2!$A:$G,5,0)</f>
        <v>3</v>
      </c>
      <c r="S170" s="38">
        <f>VLOOKUP(Table1[[#This Row],[INSTANT]],[1]dataset_2!$A:$G,6,0)</f>
        <v>52</v>
      </c>
      <c r="T170" s="38">
        <f>VLOOKUP(Table1[[#This Row],[INSTANT]],[1]dataset_2!$A:$G,7,0)</f>
        <v>55</v>
      </c>
    </row>
    <row r="171" spans="1:20" ht="13" x14ac:dyDescent="0.15">
      <c r="A171" s="35">
        <v>170</v>
      </c>
      <c r="B171" s="27">
        <v>40551</v>
      </c>
      <c r="C171" s="8" t="str">
        <f t="shared" si="4"/>
        <v>2011</v>
      </c>
      <c r="D171" s="8" t="str">
        <f t="shared" si="5"/>
        <v>08</v>
      </c>
      <c r="E171" s="7">
        <v>1</v>
      </c>
      <c r="F171" s="7">
        <v>0</v>
      </c>
      <c r="G171" s="7">
        <v>1</v>
      </c>
      <c r="H171" s="7">
        <v>8</v>
      </c>
      <c r="I171" s="7" t="b">
        <v>0</v>
      </c>
      <c r="J171" s="22">
        <f>--Table1[[#This Row],[HOLIDAY]]</f>
        <v>0</v>
      </c>
      <c r="K171" s="9">
        <v>6</v>
      </c>
      <c r="L171" s="7">
        <v>3</v>
      </c>
      <c r="M171" s="7">
        <f>LEN(TEXT(Table1[[#This Row],[WEATHER]],"0"))</f>
        <v>1</v>
      </c>
      <c r="N171" s="36">
        <v>0.16</v>
      </c>
      <c r="O171" s="37">
        <f>VLOOKUP(Table1[[#This Row],[INSTANT]],[1]dataset_2!$A:$G,2,FALSE)</f>
        <v>0.1212</v>
      </c>
      <c r="P171" s="37">
        <f>VLOOKUP(Table1[[#This Row],[INSTANT]],[1]dataset_2!$A:$G,3,0)</f>
        <v>0.36</v>
      </c>
      <c r="Q171" s="37">
        <f>VLOOKUP(Table1[[#This Row],[INSTANT]],[1]dataset_2!$A:$D,4,FALSE)</f>
        <v>0.25369999999999998</v>
      </c>
      <c r="R171" s="37">
        <f>VLOOKUP(Table1[[#This Row],[INSTANT]],[1]dataset_2!$A:$G,5,0)</f>
        <v>4</v>
      </c>
      <c r="S171" s="38">
        <f>VLOOKUP(Table1[[#This Row],[INSTANT]],[1]dataset_2!$A:$G,6,0)</f>
        <v>26</v>
      </c>
      <c r="T171" s="38">
        <f>VLOOKUP(Table1[[#This Row],[INSTANT]],[1]dataset_2!$A:$G,7,0)</f>
        <v>30</v>
      </c>
    </row>
    <row r="172" spans="1:20" ht="13" x14ac:dyDescent="0.15">
      <c r="A172" s="35">
        <v>171</v>
      </c>
      <c r="B172" s="27">
        <v>40551</v>
      </c>
      <c r="C172" s="8" t="str">
        <f t="shared" si="4"/>
        <v>2011</v>
      </c>
      <c r="D172" s="8" t="str">
        <f t="shared" si="5"/>
        <v>08</v>
      </c>
      <c r="E172" s="7">
        <v>1</v>
      </c>
      <c r="F172" s="7">
        <v>0</v>
      </c>
      <c r="G172" s="7">
        <v>1</v>
      </c>
      <c r="H172" s="7">
        <v>9</v>
      </c>
      <c r="I172" s="7" t="b">
        <v>0</v>
      </c>
      <c r="J172" s="22">
        <f>--Table1[[#This Row],[HOLIDAY]]</f>
        <v>0</v>
      </c>
      <c r="K172" s="9">
        <v>6</v>
      </c>
      <c r="L172" s="7">
        <v>3</v>
      </c>
      <c r="M172" s="7">
        <f>LEN(TEXT(Table1[[#This Row],[WEATHER]],"0"))</f>
        <v>1</v>
      </c>
      <c r="N172" s="36">
        <v>0.16</v>
      </c>
      <c r="O172" s="37">
        <f>VLOOKUP(Table1[[#This Row],[INSTANT]],[1]dataset_2!$A:$G,2,FALSE)</f>
        <v>0.1212</v>
      </c>
      <c r="P172" s="37">
        <f>VLOOKUP(Table1[[#This Row],[INSTANT]],[1]dataset_2!$A:$G,3,0)</f>
        <v>0.36</v>
      </c>
      <c r="Q172" s="37">
        <f>VLOOKUP(Table1[[#This Row],[INSTANT]],[1]dataset_2!$A:$D,4,FALSE)</f>
        <v>0.25369999999999998</v>
      </c>
      <c r="R172" s="37">
        <f>VLOOKUP(Table1[[#This Row],[INSTANT]],[1]dataset_2!$A:$G,5,0)</f>
        <v>0</v>
      </c>
      <c r="S172" s="38">
        <f>VLOOKUP(Table1[[#This Row],[INSTANT]],[1]dataset_2!$A:$G,6,0)</f>
        <v>28</v>
      </c>
      <c r="T172" s="38">
        <f>VLOOKUP(Table1[[#This Row],[INSTANT]],[1]dataset_2!$A:$G,7,0)</f>
        <v>28</v>
      </c>
    </row>
    <row r="173" spans="1:20" ht="13" x14ac:dyDescent="0.15">
      <c r="A173" s="35">
        <v>172</v>
      </c>
      <c r="B173" s="27">
        <v>40551</v>
      </c>
      <c r="C173" s="8" t="str">
        <f t="shared" si="4"/>
        <v>2011</v>
      </c>
      <c r="D173" s="8" t="str">
        <f t="shared" si="5"/>
        <v>08</v>
      </c>
      <c r="E173" s="7">
        <v>1</v>
      </c>
      <c r="F173" s="7">
        <v>0</v>
      </c>
      <c r="G173" s="7">
        <v>1</v>
      </c>
      <c r="H173" s="7">
        <v>10</v>
      </c>
      <c r="I173" s="7" t="b">
        <v>0</v>
      </c>
      <c r="J173" s="22">
        <f>--Table1[[#This Row],[HOLIDAY]]</f>
        <v>0</v>
      </c>
      <c r="K173" s="9">
        <v>6</v>
      </c>
      <c r="L173" s="7">
        <v>2</v>
      </c>
      <c r="M173" s="7">
        <f>LEN(TEXT(Table1[[#This Row],[WEATHER]],"0"))</f>
        <v>1</v>
      </c>
      <c r="N173" s="36">
        <v>0.18</v>
      </c>
      <c r="O173" s="37">
        <f>VLOOKUP(Table1[[#This Row],[INSTANT]],[1]dataset_2!$A:$G,2,FALSE)</f>
        <v>0.1061</v>
      </c>
      <c r="P173" s="37">
        <f>VLOOKUP(Table1[[#This Row],[INSTANT]],[1]dataset_2!$A:$G,3,0)</f>
        <v>0.39</v>
      </c>
      <c r="Q173" s="37">
        <f>VLOOKUP(Table1[[#This Row],[INSTANT]],[1]dataset_2!$A:$D,4,FALSE)</f>
        <v>0.35820000000000002</v>
      </c>
      <c r="R173" s="37">
        <f>VLOOKUP(Table1[[#This Row],[INSTANT]],[1]dataset_2!$A:$G,5,0)</f>
        <v>2</v>
      </c>
      <c r="S173" s="38">
        <f>VLOOKUP(Table1[[#This Row],[INSTANT]],[1]dataset_2!$A:$G,6,0)</f>
        <v>35</v>
      </c>
      <c r="T173" s="38">
        <f>VLOOKUP(Table1[[#This Row],[INSTANT]],[1]dataset_2!$A:$G,7,0)</f>
        <v>37</v>
      </c>
    </row>
    <row r="174" spans="1:20" ht="13" x14ac:dyDescent="0.15">
      <c r="A174" s="35">
        <v>173</v>
      </c>
      <c r="B174" s="27">
        <v>40551</v>
      </c>
      <c r="C174" s="8" t="str">
        <f t="shared" si="4"/>
        <v>2011</v>
      </c>
      <c r="D174" s="8" t="str">
        <f t="shared" si="5"/>
        <v>08</v>
      </c>
      <c r="E174" s="7">
        <v>1</v>
      </c>
      <c r="F174" s="7">
        <v>0</v>
      </c>
      <c r="G174" s="7">
        <v>1</v>
      </c>
      <c r="H174" s="7">
        <v>11</v>
      </c>
      <c r="I174" s="7" t="b">
        <v>0</v>
      </c>
      <c r="J174" s="22">
        <f>--Table1[[#This Row],[HOLIDAY]]</f>
        <v>0</v>
      </c>
      <c r="K174" s="9">
        <v>6</v>
      </c>
      <c r="L174" s="7">
        <v>2</v>
      </c>
      <c r="M174" s="7">
        <f>LEN(TEXT(Table1[[#This Row],[WEATHER]],"0"))</f>
        <v>1</v>
      </c>
      <c r="N174" s="36">
        <v>0.2</v>
      </c>
      <c r="O174" s="37">
        <f>VLOOKUP(Table1[[#This Row],[INSTANT]],[1]dataset_2!$A:$G,2,FALSE)</f>
        <v>0.1061</v>
      </c>
      <c r="P174" s="37">
        <f>VLOOKUP(Table1[[#This Row],[INSTANT]],[1]dataset_2!$A:$G,3,0)</f>
        <v>0.36</v>
      </c>
      <c r="Q174" s="37">
        <f>VLOOKUP(Table1[[#This Row],[INSTANT]],[1]dataset_2!$A:$D,4,FALSE)</f>
        <v>0.3881</v>
      </c>
      <c r="R174" s="37">
        <f>VLOOKUP(Table1[[#This Row],[INSTANT]],[1]dataset_2!$A:$G,5,0)</f>
        <v>1</v>
      </c>
      <c r="S174" s="38">
        <f>VLOOKUP(Table1[[#This Row],[INSTANT]],[1]dataset_2!$A:$G,6,0)</f>
        <v>33</v>
      </c>
      <c r="T174" s="38">
        <f>VLOOKUP(Table1[[#This Row],[INSTANT]],[1]dataset_2!$A:$G,7,0)</f>
        <v>34</v>
      </c>
    </row>
    <row r="175" spans="1:20" ht="13" x14ac:dyDescent="0.15">
      <c r="A175" s="35">
        <v>174</v>
      </c>
      <c r="B175" s="27">
        <v>40551</v>
      </c>
      <c r="C175" s="8" t="str">
        <f t="shared" si="4"/>
        <v>2011</v>
      </c>
      <c r="D175" s="8" t="str">
        <f t="shared" si="5"/>
        <v>08</v>
      </c>
      <c r="E175" s="7">
        <v>1</v>
      </c>
      <c r="F175" s="7">
        <v>0</v>
      </c>
      <c r="G175" s="7">
        <v>1</v>
      </c>
      <c r="H175" s="7">
        <v>12</v>
      </c>
      <c r="I175" s="7" t="b">
        <v>0</v>
      </c>
      <c r="J175" s="22">
        <f>--Table1[[#This Row],[HOLIDAY]]</f>
        <v>0</v>
      </c>
      <c r="K175" s="9">
        <v>6</v>
      </c>
      <c r="L175" s="7">
        <v>2</v>
      </c>
      <c r="M175" s="7">
        <f>LEN(TEXT(Table1[[#This Row],[WEATHER]],"0"))</f>
        <v>1</v>
      </c>
      <c r="N175" s="36">
        <v>0.2</v>
      </c>
      <c r="O175" s="37">
        <f>VLOOKUP(Table1[[#This Row],[INSTANT]],[1]dataset_2!$A:$G,2,FALSE)</f>
        <v>6.0600000000000001E-2</v>
      </c>
      <c r="P175" s="37">
        <f>VLOOKUP(Table1[[#This Row],[INSTANT]],[1]dataset_2!$A:$G,3,0)</f>
        <v>0.39</v>
      </c>
      <c r="Q175" s="37">
        <f>VLOOKUP(Table1[[#This Row],[INSTANT]],[1]dataset_2!$A:$D,4,FALSE)</f>
        <v>0.44779999999999998</v>
      </c>
      <c r="R175" s="37">
        <f>VLOOKUP(Table1[[#This Row],[INSTANT]],[1]dataset_2!$A:$G,5,0)</f>
        <v>0</v>
      </c>
      <c r="S175" s="38">
        <f>VLOOKUP(Table1[[#This Row],[INSTANT]],[1]dataset_2!$A:$G,6,0)</f>
        <v>22</v>
      </c>
      <c r="T175" s="38">
        <f>VLOOKUP(Table1[[#This Row],[INSTANT]],[1]dataset_2!$A:$G,7,0)</f>
        <v>22</v>
      </c>
    </row>
    <row r="176" spans="1:20" ht="13" x14ac:dyDescent="0.15">
      <c r="A176" s="35">
        <v>175</v>
      </c>
      <c r="B176" s="27">
        <v>40551</v>
      </c>
      <c r="C176" s="8" t="str">
        <f t="shared" si="4"/>
        <v>2011</v>
      </c>
      <c r="D176" s="8" t="str">
        <f t="shared" si="5"/>
        <v>08</v>
      </c>
      <c r="E176" s="7">
        <v>1</v>
      </c>
      <c r="F176" s="7">
        <v>0</v>
      </c>
      <c r="G176" s="7">
        <v>1</v>
      </c>
      <c r="H176" s="7">
        <v>13</v>
      </c>
      <c r="I176" s="7" t="b">
        <v>0</v>
      </c>
      <c r="J176" s="22">
        <f>--Table1[[#This Row],[HOLIDAY]]</f>
        <v>0</v>
      </c>
      <c r="K176" s="9">
        <v>6</v>
      </c>
      <c r="L176" s="7">
        <v>1</v>
      </c>
      <c r="M176" s="7">
        <f>LEN(TEXT(Table1[[#This Row],[WEATHER]],"0"))</f>
        <v>1</v>
      </c>
      <c r="N176" s="36">
        <v>0.2</v>
      </c>
      <c r="O176" s="37">
        <f>VLOOKUP(Table1[[#This Row],[INSTANT]],[1]dataset_2!$A:$G,2,FALSE)</f>
        <v>7.5800000000000006E-2</v>
      </c>
      <c r="P176" s="37">
        <f>VLOOKUP(Table1[[#This Row],[INSTANT]],[1]dataset_2!$A:$G,3,0)</f>
        <v>0.42</v>
      </c>
      <c r="Q176" s="37">
        <f>VLOOKUP(Table1[[#This Row],[INSTANT]],[1]dataset_2!$A:$D,4,FALSE)</f>
        <v>0.3881</v>
      </c>
      <c r="R176" s="37">
        <f>VLOOKUP(Table1[[#This Row],[INSTANT]],[1]dataset_2!$A:$G,5,0)</f>
        <v>1</v>
      </c>
      <c r="S176" s="38">
        <f>VLOOKUP(Table1[[#This Row],[INSTANT]],[1]dataset_2!$A:$G,6,0)</f>
        <v>24</v>
      </c>
      <c r="T176" s="38">
        <f>VLOOKUP(Table1[[#This Row],[INSTANT]],[1]dataset_2!$A:$G,7,0)</f>
        <v>25</v>
      </c>
    </row>
    <row r="177" spans="1:20" ht="13" x14ac:dyDescent="0.15">
      <c r="A177" s="35">
        <v>176</v>
      </c>
      <c r="B177" s="27">
        <v>40551</v>
      </c>
      <c r="C177" s="8" t="str">
        <f t="shared" si="4"/>
        <v>2011</v>
      </c>
      <c r="D177" s="8" t="str">
        <f t="shared" si="5"/>
        <v>08</v>
      </c>
      <c r="E177" s="7">
        <v>1</v>
      </c>
      <c r="F177" s="7">
        <v>0</v>
      </c>
      <c r="G177" s="7">
        <v>1</v>
      </c>
      <c r="H177" s="7">
        <v>14</v>
      </c>
      <c r="I177" s="7" t="b">
        <v>0</v>
      </c>
      <c r="J177" s="22">
        <f>--Table1[[#This Row],[HOLIDAY]]</f>
        <v>0</v>
      </c>
      <c r="K177" s="9">
        <v>6</v>
      </c>
      <c r="L177" s="7">
        <v>1</v>
      </c>
      <c r="M177" s="7">
        <f>LEN(TEXT(Table1[[#This Row],[WEATHER]],"0"))</f>
        <v>1</v>
      </c>
      <c r="N177" s="36">
        <v>0.2</v>
      </c>
      <c r="O177" s="37">
        <f>VLOOKUP(Table1[[#This Row],[INSTANT]],[1]dataset_2!$A:$G,2,FALSE)</f>
        <v>6.0600000000000001E-2</v>
      </c>
      <c r="P177" s="37">
        <f>VLOOKUP(Table1[[#This Row],[INSTANT]],[1]dataset_2!$A:$G,3,0)</f>
        <v>0.42</v>
      </c>
      <c r="Q177" s="37">
        <f>VLOOKUP(Table1[[#This Row],[INSTANT]],[1]dataset_2!$A:$D,4,FALSE)</f>
        <v>0.4627</v>
      </c>
      <c r="R177" s="37">
        <f>VLOOKUP(Table1[[#This Row],[INSTANT]],[1]dataset_2!$A:$G,5,0)</f>
        <v>0</v>
      </c>
      <c r="S177" s="38">
        <f>VLOOKUP(Table1[[#This Row],[INSTANT]],[1]dataset_2!$A:$G,6,0)</f>
        <v>12</v>
      </c>
      <c r="T177" s="38">
        <f>VLOOKUP(Table1[[#This Row],[INSTANT]],[1]dataset_2!$A:$G,7,0)</f>
        <v>12</v>
      </c>
    </row>
    <row r="178" spans="1:20" ht="13" x14ac:dyDescent="0.15">
      <c r="A178" s="35">
        <v>177</v>
      </c>
      <c r="B178" s="27">
        <v>40551</v>
      </c>
      <c r="C178" s="8" t="str">
        <f t="shared" si="4"/>
        <v>2011</v>
      </c>
      <c r="D178" s="8" t="str">
        <f t="shared" si="5"/>
        <v>08</v>
      </c>
      <c r="E178" s="7">
        <v>1</v>
      </c>
      <c r="F178" s="7">
        <v>0</v>
      </c>
      <c r="G178" s="7">
        <v>1</v>
      </c>
      <c r="H178" s="7">
        <v>15</v>
      </c>
      <c r="I178" s="7" t="b">
        <v>0</v>
      </c>
      <c r="J178" s="22">
        <f>--Table1[[#This Row],[HOLIDAY]]</f>
        <v>0</v>
      </c>
      <c r="K178" s="9">
        <v>6</v>
      </c>
      <c r="L178" s="7">
        <v>1</v>
      </c>
      <c r="M178" s="7">
        <f>LEN(TEXT(Table1[[#This Row],[WEATHER]],"0"))</f>
        <v>1</v>
      </c>
      <c r="N178" s="36">
        <v>0.2</v>
      </c>
      <c r="O178" s="37">
        <f>VLOOKUP(Table1[[#This Row],[INSTANT]],[1]dataset_2!$A:$G,2,FALSE)</f>
        <v>6.0600000000000001E-2</v>
      </c>
      <c r="P178" s="37">
        <f>VLOOKUP(Table1[[#This Row],[INSTANT]],[1]dataset_2!$A:$G,3,0)</f>
        <v>0.46</v>
      </c>
      <c r="Q178" s="37">
        <f>VLOOKUP(Table1[[#This Row],[INSTANT]],[1]dataset_2!$A:$D,4,FALSE)</f>
        <v>0.4627</v>
      </c>
      <c r="R178" s="37">
        <f>VLOOKUP(Table1[[#This Row],[INSTANT]],[1]dataset_2!$A:$G,5,0)</f>
        <v>0</v>
      </c>
      <c r="S178" s="38">
        <f>VLOOKUP(Table1[[#This Row],[INSTANT]],[1]dataset_2!$A:$G,6,0)</f>
        <v>11</v>
      </c>
      <c r="T178" s="38">
        <f>VLOOKUP(Table1[[#This Row],[INSTANT]],[1]dataset_2!$A:$G,7,0)</f>
        <v>11</v>
      </c>
    </row>
    <row r="179" spans="1:20" ht="13" x14ac:dyDescent="0.15">
      <c r="A179" s="35">
        <v>178</v>
      </c>
      <c r="B179" s="27">
        <v>40551</v>
      </c>
      <c r="C179" s="8" t="str">
        <f t="shared" si="4"/>
        <v>2011</v>
      </c>
      <c r="D179" s="8" t="str">
        <f t="shared" si="5"/>
        <v>08</v>
      </c>
      <c r="E179" s="7">
        <v>1</v>
      </c>
      <c r="F179" s="7">
        <v>0</v>
      </c>
      <c r="G179" s="7">
        <v>1</v>
      </c>
      <c r="H179" s="7">
        <v>16</v>
      </c>
      <c r="I179" s="7" t="b">
        <v>0</v>
      </c>
      <c r="J179" s="22">
        <f>--Table1[[#This Row],[HOLIDAY]]</f>
        <v>0</v>
      </c>
      <c r="K179" s="9">
        <v>6</v>
      </c>
      <c r="L179" s="7">
        <v>1</v>
      </c>
      <c r="M179" s="7">
        <f>LEN(TEXT(Table1[[#This Row],[WEATHER]],"0"))</f>
        <v>1</v>
      </c>
      <c r="N179" s="36">
        <v>0.18</v>
      </c>
      <c r="O179" s="37">
        <f>VLOOKUP(Table1[[#This Row],[INSTANT]],[1]dataset_2!$A:$G,2,FALSE)</f>
        <v>7.5800000000000006E-2</v>
      </c>
      <c r="P179" s="37">
        <f>VLOOKUP(Table1[[#This Row],[INSTANT]],[1]dataset_2!$A:$G,3,0)</f>
        <v>0.46</v>
      </c>
      <c r="Q179" s="37">
        <f>VLOOKUP(Table1[[#This Row],[INSTANT]],[1]dataset_2!$A:$D,4,FALSE)</f>
        <v>0.41789999999999999</v>
      </c>
      <c r="R179" s="37">
        <f>VLOOKUP(Table1[[#This Row],[INSTANT]],[1]dataset_2!$A:$G,5,0)</f>
        <v>0</v>
      </c>
      <c r="S179" s="38">
        <f>VLOOKUP(Table1[[#This Row],[INSTANT]],[1]dataset_2!$A:$G,6,0)</f>
        <v>4</v>
      </c>
      <c r="T179" s="38">
        <f>VLOOKUP(Table1[[#This Row],[INSTANT]],[1]dataset_2!$A:$G,7,0)</f>
        <v>4</v>
      </c>
    </row>
    <row r="180" spans="1:20" ht="13" x14ac:dyDescent="0.15">
      <c r="A180" s="35">
        <v>179</v>
      </c>
      <c r="B180" s="27">
        <v>40551</v>
      </c>
      <c r="C180" s="8" t="str">
        <f t="shared" si="4"/>
        <v>2011</v>
      </c>
      <c r="D180" s="8" t="str">
        <f t="shared" si="5"/>
        <v>08</v>
      </c>
      <c r="E180" s="7">
        <v>1</v>
      </c>
      <c r="F180" s="7">
        <v>0</v>
      </c>
      <c r="G180" s="7">
        <v>1</v>
      </c>
      <c r="H180" s="7">
        <v>17</v>
      </c>
      <c r="I180" s="7" t="b">
        <v>0</v>
      </c>
      <c r="J180" s="22">
        <f>--Table1[[#This Row],[HOLIDAY]]</f>
        <v>0</v>
      </c>
      <c r="K180" s="9">
        <v>6</v>
      </c>
      <c r="L180" s="7">
        <v>1</v>
      </c>
      <c r="M180" s="7">
        <f>LEN(TEXT(Table1[[#This Row],[WEATHER]],"0"))</f>
        <v>1</v>
      </c>
      <c r="N180" s="36">
        <v>0.16</v>
      </c>
      <c r="O180" s="37">
        <f>VLOOKUP(Table1[[#This Row],[INSTANT]],[1]dataset_2!$A:$G,2,FALSE)</f>
        <v>9.0899999999999995E-2</v>
      </c>
      <c r="P180" s="37">
        <f>VLOOKUP(Table1[[#This Row],[INSTANT]],[1]dataset_2!$A:$G,3,0)</f>
        <v>0.53</v>
      </c>
      <c r="Q180" s="37">
        <f>VLOOKUP(Table1[[#This Row],[INSTANT]],[1]dataset_2!$A:$D,4,FALSE)</f>
        <v>0.19400000000000001</v>
      </c>
      <c r="R180" s="37">
        <f>VLOOKUP(Table1[[#This Row],[INSTANT]],[1]dataset_2!$A:$G,5,0)</f>
        <v>0</v>
      </c>
      <c r="S180" s="38">
        <f>VLOOKUP(Table1[[#This Row],[INSTANT]],[1]dataset_2!$A:$G,6,0)</f>
        <v>1</v>
      </c>
      <c r="T180" s="38">
        <f>VLOOKUP(Table1[[#This Row],[INSTANT]],[1]dataset_2!$A:$G,7,0)</f>
        <v>1</v>
      </c>
    </row>
    <row r="181" spans="1:20" ht="13" x14ac:dyDescent="0.15">
      <c r="A181" s="35">
        <v>180</v>
      </c>
      <c r="B181" s="27">
        <v>40551</v>
      </c>
      <c r="C181" s="8" t="str">
        <f t="shared" si="4"/>
        <v>2011</v>
      </c>
      <c r="D181" s="8" t="str">
        <f t="shared" si="5"/>
        <v>08</v>
      </c>
      <c r="E181" s="7">
        <v>1</v>
      </c>
      <c r="F181" s="7">
        <v>0</v>
      </c>
      <c r="G181" s="7">
        <v>1</v>
      </c>
      <c r="H181" s="7">
        <v>18</v>
      </c>
      <c r="I181" s="7" t="b">
        <v>0</v>
      </c>
      <c r="J181" s="22">
        <f>--Table1[[#This Row],[HOLIDAY]]</f>
        <v>0</v>
      </c>
      <c r="K181" s="9">
        <v>6</v>
      </c>
      <c r="L181" s="7">
        <v>1</v>
      </c>
      <c r="M181" s="7">
        <f>LEN(TEXT(Table1[[#This Row],[WEATHER]],"0"))</f>
        <v>1</v>
      </c>
      <c r="N181" s="36">
        <v>0.14000000000000001</v>
      </c>
      <c r="O181" s="37">
        <f>VLOOKUP(Table1[[#This Row],[INSTANT]],[1]dataset_2!$A:$G,2,FALSE)</f>
        <v>9.0899999999999995E-2</v>
      </c>
      <c r="P181" s="37">
        <f>VLOOKUP(Table1[[#This Row],[INSTANT]],[1]dataset_2!$A:$G,3,0)</f>
        <v>0.53</v>
      </c>
      <c r="Q181" s="37">
        <f>VLOOKUP(Table1[[#This Row],[INSTANT]],[1]dataset_2!$A:$D,4,FALSE)</f>
        <v>0.19400000000000001</v>
      </c>
      <c r="R181" s="37">
        <f>VLOOKUP(Table1[[#This Row],[INSTANT]],[1]dataset_2!$A:$G,5,0)</f>
        <v>0</v>
      </c>
      <c r="S181" s="38">
        <f>VLOOKUP(Table1[[#This Row],[INSTANT]],[1]dataset_2!$A:$G,6,0)</f>
        <v>1</v>
      </c>
      <c r="T181" s="38">
        <f>VLOOKUP(Table1[[#This Row],[INSTANT]],[1]dataset_2!$A:$G,7,0)</f>
        <v>1</v>
      </c>
    </row>
    <row r="182" spans="1:20" ht="13" x14ac:dyDescent="0.15">
      <c r="A182" s="35">
        <v>181</v>
      </c>
      <c r="B182" s="27">
        <v>40551</v>
      </c>
      <c r="C182" s="8" t="str">
        <f t="shared" si="4"/>
        <v>2011</v>
      </c>
      <c r="D182" s="8" t="str">
        <f t="shared" si="5"/>
        <v>08</v>
      </c>
      <c r="E182" s="7">
        <v>1</v>
      </c>
      <c r="F182" s="7">
        <v>0</v>
      </c>
      <c r="G182" s="7">
        <v>1</v>
      </c>
      <c r="H182" s="7">
        <v>19</v>
      </c>
      <c r="I182" s="7" t="b">
        <v>0</v>
      </c>
      <c r="J182" s="22">
        <f>--Table1[[#This Row],[HOLIDAY]]</f>
        <v>0</v>
      </c>
      <c r="K182" s="9">
        <v>6</v>
      </c>
      <c r="L182" s="7">
        <v>1</v>
      </c>
      <c r="M182" s="7">
        <f>LEN(TEXT(Table1[[#This Row],[WEATHER]],"0"))</f>
        <v>1</v>
      </c>
      <c r="N182" s="36">
        <v>0.14000000000000001</v>
      </c>
      <c r="O182" s="37">
        <f>VLOOKUP(Table1[[#This Row],[INSTANT]],[1]dataset_2!$A:$G,2,FALSE)</f>
        <v>9.0899999999999995E-2</v>
      </c>
      <c r="P182" s="37">
        <f>VLOOKUP(Table1[[#This Row],[INSTANT]],[1]dataset_2!$A:$G,3,0)</f>
        <v>0.49</v>
      </c>
      <c r="Q182" s="37">
        <f>VLOOKUP(Table1[[#This Row],[INSTANT]],[1]dataset_2!$A:$D,4,FALSE)</f>
        <v>0.28360000000000002</v>
      </c>
      <c r="R182" s="37">
        <f>VLOOKUP(Table1[[#This Row],[INSTANT]],[1]dataset_2!$A:$G,5,0)</f>
        <v>0</v>
      </c>
      <c r="S182" s="38">
        <f>VLOOKUP(Table1[[#This Row],[INSTANT]],[1]dataset_2!$A:$G,6,0)</f>
        <v>1</v>
      </c>
      <c r="T182" s="38">
        <f>VLOOKUP(Table1[[#This Row],[INSTANT]],[1]dataset_2!$A:$G,7,0)</f>
        <v>1</v>
      </c>
    </row>
    <row r="183" spans="1:20" ht="13" x14ac:dyDescent="0.15">
      <c r="A183" s="35">
        <v>182</v>
      </c>
      <c r="B183" s="27">
        <v>40551</v>
      </c>
      <c r="C183" s="8" t="str">
        <f t="shared" si="4"/>
        <v>2011</v>
      </c>
      <c r="D183" s="8" t="str">
        <f t="shared" si="5"/>
        <v>08</v>
      </c>
      <c r="E183" s="7">
        <v>1</v>
      </c>
      <c r="F183" s="7">
        <v>0</v>
      </c>
      <c r="G183" s="7">
        <v>1</v>
      </c>
      <c r="H183" s="7">
        <v>20</v>
      </c>
      <c r="I183" s="7" t="b">
        <v>0</v>
      </c>
      <c r="J183" s="22">
        <f>--Table1[[#This Row],[HOLIDAY]]</f>
        <v>0</v>
      </c>
      <c r="K183" s="9">
        <v>6</v>
      </c>
      <c r="L183" s="7">
        <v>1</v>
      </c>
      <c r="M183" s="7">
        <f>LEN(TEXT(Table1[[#This Row],[WEATHER]],"0"))</f>
        <v>1</v>
      </c>
      <c r="N183" s="36">
        <v>0.12</v>
      </c>
      <c r="O183" s="37">
        <f>VLOOKUP(Table1[[#This Row],[INSTANT]],[1]dataset_2!$A:$G,2,FALSE)</f>
        <v>9.0899999999999995E-2</v>
      </c>
      <c r="P183" s="37">
        <f>VLOOKUP(Table1[[#This Row],[INSTANT]],[1]dataset_2!$A:$G,3,0)</f>
        <v>0.53</v>
      </c>
      <c r="Q183" s="37">
        <f>VLOOKUP(Table1[[#This Row],[INSTANT]],[1]dataset_2!$A:$D,4,FALSE)</f>
        <v>0.19400000000000001</v>
      </c>
      <c r="R183" s="37">
        <f>VLOOKUP(Table1[[#This Row],[INSTANT]],[1]dataset_2!$A:$G,5,0)</f>
        <v>1</v>
      </c>
      <c r="S183" s="38">
        <f>VLOOKUP(Table1[[#This Row],[INSTANT]],[1]dataset_2!$A:$G,6,0)</f>
        <v>5</v>
      </c>
      <c r="T183" s="38">
        <f>VLOOKUP(Table1[[#This Row],[INSTANT]],[1]dataset_2!$A:$G,7,0)</f>
        <v>6</v>
      </c>
    </row>
    <row r="184" spans="1:20" ht="13" x14ac:dyDescent="0.15">
      <c r="A184" s="35">
        <v>183</v>
      </c>
      <c r="B184" s="27">
        <v>40551</v>
      </c>
      <c r="C184" s="8" t="str">
        <f t="shared" si="4"/>
        <v>2011</v>
      </c>
      <c r="D184" s="8" t="str">
        <f t="shared" si="5"/>
        <v>08</v>
      </c>
      <c r="E184" s="7">
        <v>1</v>
      </c>
      <c r="F184" s="7">
        <v>0</v>
      </c>
      <c r="G184" s="7">
        <v>1</v>
      </c>
      <c r="H184" s="7">
        <v>21</v>
      </c>
      <c r="I184" s="7" t="b">
        <v>0</v>
      </c>
      <c r="J184" s="22">
        <f>--Table1[[#This Row],[HOLIDAY]]</f>
        <v>0</v>
      </c>
      <c r="K184" s="9">
        <v>6</v>
      </c>
      <c r="L184" s="7">
        <v>1</v>
      </c>
      <c r="M184" s="7">
        <f>LEN(TEXT(Table1[[#This Row],[WEATHER]],"0"))</f>
        <v>1</v>
      </c>
      <c r="N184" s="36">
        <v>0.12</v>
      </c>
      <c r="O184" s="37">
        <f>VLOOKUP(Table1[[#This Row],[INSTANT]],[1]dataset_2!$A:$G,2,FALSE)</f>
        <v>9.0899999999999995E-2</v>
      </c>
      <c r="P184" s="37">
        <f>VLOOKUP(Table1[[#This Row],[INSTANT]],[1]dataset_2!$A:$G,3,0)</f>
        <v>0.49</v>
      </c>
      <c r="Q184" s="37">
        <f>VLOOKUP(Table1[[#This Row],[INSTANT]],[1]dataset_2!$A:$D,4,FALSE)</f>
        <v>0.28360000000000002</v>
      </c>
      <c r="R184" s="37">
        <f>VLOOKUP(Table1[[#This Row],[INSTANT]],[1]dataset_2!$A:$G,5,0)</f>
        <v>0</v>
      </c>
      <c r="S184" s="38">
        <f>VLOOKUP(Table1[[#This Row],[INSTANT]],[1]dataset_2!$A:$G,6,0)</f>
        <v>10</v>
      </c>
      <c r="T184" s="38">
        <f>VLOOKUP(Table1[[#This Row],[INSTANT]],[1]dataset_2!$A:$G,7,0)</f>
        <v>10</v>
      </c>
    </row>
    <row r="185" spans="1:20" ht="13" x14ac:dyDescent="0.15">
      <c r="A185" s="35">
        <v>184</v>
      </c>
      <c r="B185" s="27">
        <v>40551</v>
      </c>
      <c r="C185" s="8" t="str">
        <f t="shared" si="4"/>
        <v>2011</v>
      </c>
      <c r="D185" s="8" t="str">
        <f t="shared" si="5"/>
        <v>08</v>
      </c>
      <c r="E185" s="7">
        <v>1</v>
      </c>
      <c r="F185" s="7">
        <v>0</v>
      </c>
      <c r="G185" s="7">
        <v>1</v>
      </c>
      <c r="H185" s="7">
        <v>22</v>
      </c>
      <c r="I185" s="7" t="b">
        <v>0</v>
      </c>
      <c r="J185" s="22">
        <f>--Table1[[#This Row],[HOLIDAY]]</f>
        <v>0</v>
      </c>
      <c r="K185" s="9">
        <v>6</v>
      </c>
      <c r="L185" s="7">
        <v>1</v>
      </c>
      <c r="M185" s="7">
        <f>LEN(TEXT(Table1[[#This Row],[WEATHER]],"0"))</f>
        <v>1</v>
      </c>
      <c r="N185" s="36">
        <v>0.12</v>
      </c>
      <c r="O185" s="37">
        <f>VLOOKUP(Table1[[#This Row],[INSTANT]],[1]dataset_2!$A:$G,2,FALSE)</f>
        <v>7.5800000000000006E-2</v>
      </c>
      <c r="P185" s="37">
        <f>VLOOKUP(Table1[[#This Row],[INSTANT]],[1]dataset_2!$A:$G,3,0)</f>
        <v>0.46</v>
      </c>
      <c r="Q185" s="37">
        <f>VLOOKUP(Table1[[#This Row],[INSTANT]],[1]dataset_2!$A:$D,4,FALSE)</f>
        <v>0.52239999999999998</v>
      </c>
      <c r="R185" s="37">
        <f>VLOOKUP(Table1[[#This Row],[INSTANT]],[1]dataset_2!$A:$G,5,0)</f>
        <v>0</v>
      </c>
      <c r="S185" s="38">
        <f>VLOOKUP(Table1[[#This Row],[INSTANT]],[1]dataset_2!$A:$G,6,0)</f>
        <v>19</v>
      </c>
      <c r="T185" s="38">
        <f>VLOOKUP(Table1[[#This Row],[INSTANT]],[1]dataset_2!$A:$G,7,0)</f>
        <v>19</v>
      </c>
    </row>
    <row r="186" spans="1:20" ht="13" x14ac:dyDescent="0.15">
      <c r="A186" s="35">
        <v>185</v>
      </c>
      <c r="B186" s="27">
        <v>40551</v>
      </c>
      <c r="C186" s="8" t="str">
        <f t="shared" si="4"/>
        <v>2011</v>
      </c>
      <c r="D186" s="8" t="str">
        <f t="shared" si="5"/>
        <v>08</v>
      </c>
      <c r="E186" s="7">
        <v>1</v>
      </c>
      <c r="F186" s="7">
        <v>0</v>
      </c>
      <c r="G186" s="7">
        <v>1</v>
      </c>
      <c r="H186" s="7">
        <v>23</v>
      </c>
      <c r="I186" s="7" t="b">
        <v>0</v>
      </c>
      <c r="J186" s="22">
        <f>--Table1[[#This Row],[HOLIDAY]]</f>
        <v>0</v>
      </c>
      <c r="K186" s="9">
        <v>6</v>
      </c>
      <c r="L186" s="7">
        <v>1</v>
      </c>
      <c r="M186" s="7">
        <f>LEN(TEXT(Table1[[#This Row],[WEATHER]],"0"))</f>
        <v>1</v>
      </c>
      <c r="N186" s="36">
        <v>0.1</v>
      </c>
      <c r="O186" s="37">
        <f>VLOOKUP(Table1[[#This Row],[INSTANT]],[1]dataset_2!$A:$G,2,FALSE)</f>
        <v>0.1061</v>
      </c>
      <c r="P186" s="37">
        <f>VLOOKUP(Table1[[#This Row],[INSTANT]],[1]dataset_2!$A:$G,3,0)</f>
        <v>0.43</v>
      </c>
      <c r="Q186" s="37">
        <f>VLOOKUP(Table1[[#This Row],[INSTANT]],[1]dataset_2!$A:$D,4,FALSE)</f>
        <v>0.3881</v>
      </c>
      <c r="R186" s="37">
        <f>VLOOKUP(Table1[[#This Row],[INSTANT]],[1]dataset_2!$A:$G,5,0)</f>
        <v>0</v>
      </c>
      <c r="S186" s="38">
        <f>VLOOKUP(Table1[[#This Row],[INSTANT]],[1]dataset_2!$A:$G,6,0)</f>
        <v>49</v>
      </c>
      <c r="T186" s="38">
        <f>VLOOKUP(Table1[[#This Row],[INSTANT]],[1]dataset_2!$A:$G,7,0)</f>
        <v>49</v>
      </c>
    </row>
    <row r="187" spans="1:20" ht="13" x14ac:dyDescent="0.15">
      <c r="A187" s="35">
        <v>186</v>
      </c>
      <c r="B187" s="27">
        <v>40552</v>
      </c>
      <c r="C187" s="8" t="str">
        <f t="shared" si="4"/>
        <v>2011</v>
      </c>
      <c r="D187" s="8" t="str">
        <f t="shared" si="5"/>
        <v>09</v>
      </c>
      <c r="E187" s="7">
        <v>1</v>
      </c>
      <c r="F187" s="7">
        <v>0</v>
      </c>
      <c r="G187" s="7">
        <v>1</v>
      </c>
      <c r="H187" s="7">
        <v>0</v>
      </c>
      <c r="I187" s="7" t="b">
        <v>0</v>
      </c>
      <c r="J187" s="22">
        <f>--Table1[[#This Row],[HOLIDAY]]</f>
        <v>0</v>
      </c>
      <c r="K187" s="9">
        <v>0</v>
      </c>
      <c r="L187" s="7">
        <v>1</v>
      </c>
      <c r="M187" s="7">
        <f>LEN(TEXT(Table1[[#This Row],[WEATHER]],"0"))</f>
        <v>1</v>
      </c>
      <c r="N187" s="36">
        <v>0.1</v>
      </c>
      <c r="O187" s="37">
        <f>VLOOKUP(Table1[[#This Row],[INSTANT]],[1]dataset_2!$A:$G,2,FALSE)</f>
        <v>0.1212</v>
      </c>
      <c r="P187" s="37">
        <f>VLOOKUP(Table1[[#This Row],[INSTANT]],[1]dataset_2!$A:$G,3,0)</f>
        <v>0.4</v>
      </c>
      <c r="Q187" s="37">
        <f>VLOOKUP(Table1[[#This Row],[INSTANT]],[1]dataset_2!$A:$D,4,FALSE)</f>
        <v>0.52239999999999998</v>
      </c>
      <c r="R187" s="37">
        <f>VLOOKUP(Table1[[#This Row],[INSTANT]],[1]dataset_2!$A:$G,5,0)</f>
        <v>2</v>
      </c>
      <c r="S187" s="38">
        <f>VLOOKUP(Table1[[#This Row],[INSTANT]],[1]dataset_2!$A:$G,6,0)</f>
        <v>47</v>
      </c>
      <c r="T187" s="38">
        <f>VLOOKUP(Table1[[#This Row],[INSTANT]],[1]dataset_2!$A:$G,7,0)</f>
        <v>49</v>
      </c>
    </row>
    <row r="188" spans="1:20" ht="13" x14ac:dyDescent="0.15">
      <c r="A188" s="35">
        <v>187</v>
      </c>
      <c r="B188" s="27">
        <v>40552</v>
      </c>
      <c r="C188" s="8" t="str">
        <f t="shared" si="4"/>
        <v>2011</v>
      </c>
      <c r="D188" s="8" t="str">
        <f t="shared" si="5"/>
        <v>09</v>
      </c>
      <c r="E188" s="7">
        <v>1</v>
      </c>
      <c r="F188" s="7">
        <v>0</v>
      </c>
      <c r="G188" s="7">
        <v>1</v>
      </c>
      <c r="H188" s="7">
        <v>1</v>
      </c>
      <c r="I188" s="7" t="b">
        <v>0</v>
      </c>
      <c r="J188" s="22">
        <f>--Table1[[#This Row],[HOLIDAY]]</f>
        <v>0</v>
      </c>
      <c r="K188" s="9">
        <v>0</v>
      </c>
      <c r="L188" s="7">
        <v>1</v>
      </c>
      <c r="M188" s="7">
        <f>LEN(TEXT(Table1[[#This Row],[WEATHER]],"0"))</f>
        <v>1</v>
      </c>
      <c r="N188" s="36">
        <v>0.1</v>
      </c>
      <c r="O188" s="37">
        <f>VLOOKUP(Table1[[#This Row],[INSTANT]],[1]dataset_2!$A:$G,2,FALSE)</f>
        <v>0.13639999999999999</v>
      </c>
      <c r="P188" s="37">
        <f>VLOOKUP(Table1[[#This Row],[INSTANT]],[1]dataset_2!$A:$G,3,0)</f>
        <v>0.37</v>
      </c>
      <c r="Q188" s="37">
        <f>VLOOKUP(Table1[[#This Row],[INSTANT]],[1]dataset_2!$A:$D,4,FALSE)</f>
        <v>0.44779999999999998</v>
      </c>
      <c r="R188" s="37">
        <f>VLOOKUP(Table1[[#This Row],[INSTANT]],[1]dataset_2!$A:$G,5,0)</f>
        <v>4</v>
      </c>
      <c r="S188" s="38">
        <f>VLOOKUP(Table1[[#This Row],[INSTANT]],[1]dataset_2!$A:$G,6,0)</f>
        <v>79</v>
      </c>
      <c r="T188" s="38">
        <f>VLOOKUP(Table1[[#This Row],[INSTANT]],[1]dataset_2!$A:$G,7,0)</f>
        <v>83</v>
      </c>
    </row>
    <row r="189" spans="1:20" ht="13" x14ac:dyDescent="0.15">
      <c r="A189" s="35">
        <v>188</v>
      </c>
      <c r="B189" s="27">
        <v>40552</v>
      </c>
      <c r="C189" s="8" t="str">
        <f t="shared" si="4"/>
        <v>2011</v>
      </c>
      <c r="D189" s="8" t="str">
        <f t="shared" si="5"/>
        <v>09</v>
      </c>
      <c r="E189" s="7">
        <v>1</v>
      </c>
      <c r="F189" s="7">
        <v>0</v>
      </c>
      <c r="G189" s="7">
        <v>1</v>
      </c>
      <c r="H189" s="7">
        <v>2</v>
      </c>
      <c r="I189" s="7" t="b">
        <v>0</v>
      </c>
      <c r="J189" s="22">
        <f>--Table1[[#This Row],[HOLIDAY]]</f>
        <v>0</v>
      </c>
      <c r="K189" s="9">
        <v>0</v>
      </c>
      <c r="L189" s="7">
        <v>1</v>
      </c>
      <c r="M189" s="7">
        <f>LEN(TEXT(Table1[[#This Row],[WEATHER]],"0"))</f>
        <v>1</v>
      </c>
      <c r="N189" s="36">
        <v>0.1</v>
      </c>
      <c r="O189" s="37">
        <f>VLOOKUP(Table1[[#This Row],[INSTANT]],[1]dataset_2!$A:$G,2,FALSE)</f>
        <v>0.16669999999999999</v>
      </c>
      <c r="P189" s="37">
        <f>VLOOKUP(Table1[[#This Row],[INSTANT]],[1]dataset_2!$A:$G,3,0)</f>
        <v>0.34</v>
      </c>
      <c r="Q189" s="37">
        <f>VLOOKUP(Table1[[#This Row],[INSTANT]],[1]dataset_2!$A:$D,4,FALSE)</f>
        <v>0.44779999999999998</v>
      </c>
      <c r="R189" s="37">
        <f>VLOOKUP(Table1[[#This Row],[INSTANT]],[1]dataset_2!$A:$G,5,0)</f>
        <v>6</v>
      </c>
      <c r="S189" s="38">
        <f>VLOOKUP(Table1[[#This Row],[INSTANT]],[1]dataset_2!$A:$G,6,0)</f>
        <v>69</v>
      </c>
      <c r="T189" s="38">
        <f>VLOOKUP(Table1[[#This Row],[INSTANT]],[1]dataset_2!$A:$G,7,0)</f>
        <v>75</v>
      </c>
    </row>
    <row r="190" spans="1:20" ht="13" x14ac:dyDescent="0.15">
      <c r="A190" s="35">
        <v>189</v>
      </c>
      <c r="B190" s="27">
        <v>40552</v>
      </c>
      <c r="C190" s="8" t="str">
        <f t="shared" si="4"/>
        <v>2011</v>
      </c>
      <c r="D190" s="8" t="str">
        <f t="shared" si="5"/>
        <v>09</v>
      </c>
      <c r="E190" s="7">
        <v>1</v>
      </c>
      <c r="F190" s="7">
        <v>0</v>
      </c>
      <c r="G190" s="7">
        <v>1</v>
      </c>
      <c r="H190" s="7">
        <v>3</v>
      </c>
      <c r="I190" s="7" t="b">
        <v>0</v>
      </c>
      <c r="J190" s="22">
        <f>--Table1[[#This Row],[HOLIDAY]]</f>
        <v>0</v>
      </c>
      <c r="K190" s="9">
        <v>0</v>
      </c>
      <c r="L190" s="7">
        <v>1</v>
      </c>
      <c r="M190" s="7">
        <f>LEN(TEXT(Table1[[#This Row],[WEATHER]],"0"))</f>
        <v>1</v>
      </c>
      <c r="N190" s="36">
        <v>0.1</v>
      </c>
      <c r="O190" s="37">
        <f>VLOOKUP(Table1[[#This Row],[INSTANT]],[1]dataset_2!$A:$G,2,FALSE)</f>
        <v>0.18179999999999999</v>
      </c>
      <c r="P190" s="37">
        <f>VLOOKUP(Table1[[#This Row],[INSTANT]],[1]dataset_2!$A:$G,3,0)</f>
        <v>0.32</v>
      </c>
      <c r="Q190" s="37">
        <f>VLOOKUP(Table1[[#This Row],[INSTANT]],[1]dataset_2!$A:$D,4,FALSE)</f>
        <v>0.4627</v>
      </c>
      <c r="R190" s="37">
        <f>VLOOKUP(Table1[[#This Row],[INSTANT]],[1]dataset_2!$A:$G,5,0)</f>
        <v>8</v>
      </c>
      <c r="S190" s="38">
        <f>VLOOKUP(Table1[[#This Row],[INSTANT]],[1]dataset_2!$A:$G,6,0)</f>
        <v>64</v>
      </c>
      <c r="T190" s="38">
        <f>VLOOKUP(Table1[[#This Row],[INSTANT]],[1]dataset_2!$A:$G,7,0)</f>
        <v>72</v>
      </c>
    </row>
    <row r="191" spans="1:20" ht="13" x14ac:dyDescent="0.15">
      <c r="A191" s="35">
        <v>190</v>
      </c>
      <c r="B191" s="27">
        <v>40552</v>
      </c>
      <c r="C191" s="8" t="str">
        <f t="shared" si="4"/>
        <v>2011</v>
      </c>
      <c r="D191" s="8" t="str">
        <f t="shared" si="5"/>
        <v>09</v>
      </c>
      <c r="E191" s="7">
        <v>1</v>
      </c>
      <c r="F191" s="7">
        <v>0</v>
      </c>
      <c r="G191" s="7">
        <v>1</v>
      </c>
      <c r="H191" s="7">
        <v>4</v>
      </c>
      <c r="I191" s="7" t="b">
        <v>0</v>
      </c>
      <c r="J191" s="22">
        <f>--Table1[[#This Row],[HOLIDAY]]</f>
        <v>0</v>
      </c>
      <c r="K191" s="9">
        <v>0</v>
      </c>
      <c r="L191" s="7">
        <v>1</v>
      </c>
      <c r="M191" s="7">
        <f>LEN(TEXT(Table1[[#This Row],[WEATHER]],"0"))</f>
        <v>1</v>
      </c>
      <c r="N191" s="36">
        <v>0.08</v>
      </c>
      <c r="O191" s="37">
        <f>VLOOKUP(Table1[[#This Row],[INSTANT]],[1]dataset_2!$A:$G,2,FALSE)</f>
        <v>0.19700000000000001</v>
      </c>
      <c r="P191" s="37">
        <f>VLOOKUP(Table1[[#This Row],[INSTANT]],[1]dataset_2!$A:$G,3,0)</f>
        <v>0.35</v>
      </c>
      <c r="Q191" s="37">
        <f>VLOOKUP(Table1[[#This Row],[INSTANT]],[1]dataset_2!$A:$D,4,FALSE)</f>
        <v>0.35820000000000002</v>
      </c>
      <c r="R191" s="37">
        <f>VLOOKUP(Table1[[#This Row],[INSTANT]],[1]dataset_2!$A:$G,5,0)</f>
        <v>5</v>
      </c>
      <c r="S191" s="38">
        <f>VLOOKUP(Table1[[#This Row],[INSTANT]],[1]dataset_2!$A:$G,6,0)</f>
        <v>77</v>
      </c>
      <c r="T191" s="38">
        <f>VLOOKUP(Table1[[#This Row],[INSTANT]],[1]dataset_2!$A:$G,7,0)</f>
        <v>82</v>
      </c>
    </row>
    <row r="192" spans="1:20" ht="13" x14ac:dyDescent="0.15">
      <c r="A192" s="35">
        <v>191</v>
      </c>
      <c r="B192" s="27">
        <v>40552</v>
      </c>
      <c r="C192" s="8" t="str">
        <f t="shared" si="4"/>
        <v>2011</v>
      </c>
      <c r="D192" s="8" t="str">
        <f t="shared" si="5"/>
        <v>09</v>
      </c>
      <c r="E192" s="7">
        <v>1</v>
      </c>
      <c r="F192" s="7">
        <v>0</v>
      </c>
      <c r="G192" s="7">
        <v>1</v>
      </c>
      <c r="H192" s="7">
        <v>5</v>
      </c>
      <c r="I192" s="7" t="b">
        <v>0</v>
      </c>
      <c r="J192" s="22">
        <f>--Table1[[#This Row],[HOLIDAY]]</f>
        <v>0</v>
      </c>
      <c r="K192" s="9">
        <v>0</v>
      </c>
      <c r="L192" s="7">
        <v>1</v>
      </c>
      <c r="M192" s="7">
        <f>LEN(TEXT(Table1[[#This Row],[WEATHER]],"0"))</f>
        <v>1</v>
      </c>
      <c r="N192" s="36">
        <v>0.08</v>
      </c>
      <c r="O192" s="37">
        <f>VLOOKUP(Table1[[#This Row],[INSTANT]],[1]dataset_2!$A:$G,2,FALSE)</f>
        <v>0.16669999999999999</v>
      </c>
      <c r="P192" s="37">
        <f>VLOOKUP(Table1[[#This Row],[INSTANT]],[1]dataset_2!$A:$G,3,0)</f>
        <v>0.34</v>
      </c>
      <c r="Q192" s="37">
        <f>VLOOKUP(Table1[[#This Row],[INSTANT]],[1]dataset_2!$A:$D,4,FALSE)</f>
        <v>0.44779999999999998</v>
      </c>
      <c r="R192" s="37">
        <f>VLOOKUP(Table1[[#This Row],[INSTANT]],[1]dataset_2!$A:$G,5,0)</f>
        <v>13</v>
      </c>
      <c r="S192" s="38">
        <f>VLOOKUP(Table1[[#This Row],[INSTANT]],[1]dataset_2!$A:$G,6,0)</f>
        <v>79</v>
      </c>
      <c r="T192" s="38">
        <f>VLOOKUP(Table1[[#This Row],[INSTANT]],[1]dataset_2!$A:$G,7,0)</f>
        <v>92</v>
      </c>
    </row>
    <row r="193" spans="1:20" ht="13" x14ac:dyDescent="0.15">
      <c r="A193" s="35">
        <v>192</v>
      </c>
      <c r="B193" s="27">
        <v>40552</v>
      </c>
      <c r="C193" s="8" t="str">
        <f t="shared" si="4"/>
        <v>2011</v>
      </c>
      <c r="D193" s="8" t="str">
        <f t="shared" si="5"/>
        <v>09</v>
      </c>
      <c r="E193" s="7">
        <v>1</v>
      </c>
      <c r="F193" s="7">
        <v>0</v>
      </c>
      <c r="G193" s="7">
        <v>1</v>
      </c>
      <c r="H193" s="7">
        <v>6</v>
      </c>
      <c r="I193" s="7" t="b">
        <v>0</v>
      </c>
      <c r="J193" s="22">
        <f>--Table1[[#This Row],[HOLIDAY]]</f>
        <v>0</v>
      </c>
      <c r="K193" s="9">
        <v>0</v>
      </c>
      <c r="L193" s="7">
        <v>1</v>
      </c>
      <c r="M193" s="7">
        <f>LEN(TEXT(Table1[[#This Row],[WEATHER]],"0"))</f>
        <v>1</v>
      </c>
      <c r="N193" s="36">
        <v>0.1</v>
      </c>
      <c r="O193" s="37">
        <f>VLOOKUP(Table1[[#This Row],[INSTANT]],[1]dataset_2!$A:$G,2,FALSE)</f>
        <v>0.1515</v>
      </c>
      <c r="P193" s="37">
        <f>VLOOKUP(Table1[[#This Row],[INSTANT]],[1]dataset_2!$A:$G,3,0)</f>
        <v>0.37</v>
      </c>
      <c r="Q193" s="37">
        <f>VLOOKUP(Table1[[#This Row],[INSTANT]],[1]dataset_2!$A:$D,4,FALSE)</f>
        <v>0.3881</v>
      </c>
      <c r="R193" s="37">
        <f>VLOOKUP(Table1[[#This Row],[INSTANT]],[1]dataset_2!$A:$G,5,0)</f>
        <v>3</v>
      </c>
      <c r="S193" s="38">
        <f>VLOOKUP(Table1[[#This Row],[INSTANT]],[1]dataset_2!$A:$G,6,0)</f>
        <v>59</v>
      </c>
      <c r="T193" s="38">
        <f>VLOOKUP(Table1[[#This Row],[INSTANT]],[1]dataset_2!$A:$G,7,0)</f>
        <v>62</v>
      </c>
    </row>
    <row r="194" spans="1:20" ht="13" x14ac:dyDescent="0.15">
      <c r="A194" s="35">
        <v>193</v>
      </c>
      <c r="B194" s="27">
        <v>40552</v>
      </c>
      <c r="C194" s="8" t="str">
        <f t="shared" ref="C194:C257" si="6">RIGHT(TEXT(B195,"DD-MM-YYYY"),4)</f>
        <v>2011</v>
      </c>
      <c r="D194" s="8" t="str">
        <f t="shared" ref="D194:D257" si="7">LEFT(TEXT(B194,"DD-MM-YYYY"),2)</f>
        <v>09</v>
      </c>
      <c r="E194" s="7">
        <v>1</v>
      </c>
      <c r="F194" s="7">
        <v>0</v>
      </c>
      <c r="G194" s="7">
        <v>1</v>
      </c>
      <c r="H194" s="7">
        <v>7</v>
      </c>
      <c r="I194" s="7" t="b">
        <v>0</v>
      </c>
      <c r="J194" s="22">
        <f>--Table1[[#This Row],[HOLIDAY]]</f>
        <v>0</v>
      </c>
      <c r="K194" s="9">
        <v>0</v>
      </c>
      <c r="L194" s="7">
        <v>1</v>
      </c>
      <c r="M194" s="7">
        <f>LEN(TEXT(Table1[[#This Row],[WEATHER]],"0"))</f>
        <v>1</v>
      </c>
      <c r="N194" s="36">
        <v>0.08</v>
      </c>
      <c r="O194" s="37">
        <f>VLOOKUP(Table1[[#This Row],[INSTANT]],[1]dataset_2!$A:$G,2,FALSE)</f>
        <v>0.13639999999999999</v>
      </c>
      <c r="P194" s="37">
        <f>VLOOKUP(Table1[[#This Row],[INSTANT]],[1]dataset_2!$A:$G,3,0)</f>
        <v>0.4</v>
      </c>
      <c r="Q194" s="37">
        <f>VLOOKUP(Table1[[#This Row],[INSTANT]],[1]dataset_2!$A:$D,4,FALSE)</f>
        <v>0.32840000000000003</v>
      </c>
      <c r="R194" s="37">
        <f>VLOOKUP(Table1[[#This Row],[INSTANT]],[1]dataset_2!$A:$G,5,0)</f>
        <v>4</v>
      </c>
      <c r="S194" s="38">
        <f>VLOOKUP(Table1[[#This Row],[INSTANT]],[1]dataset_2!$A:$G,6,0)</f>
        <v>44</v>
      </c>
      <c r="T194" s="38">
        <f>VLOOKUP(Table1[[#This Row],[INSTANT]],[1]dataset_2!$A:$G,7,0)</f>
        <v>48</v>
      </c>
    </row>
    <row r="195" spans="1:20" ht="13" x14ac:dyDescent="0.15">
      <c r="A195" s="35">
        <v>194</v>
      </c>
      <c r="B195" s="27">
        <v>40552</v>
      </c>
      <c r="C195" s="8" t="str">
        <f t="shared" si="6"/>
        <v>2011</v>
      </c>
      <c r="D195" s="8" t="str">
        <f t="shared" si="7"/>
        <v>09</v>
      </c>
      <c r="E195" s="7">
        <v>1</v>
      </c>
      <c r="F195" s="7">
        <v>0</v>
      </c>
      <c r="G195" s="7">
        <v>1</v>
      </c>
      <c r="H195" s="7">
        <v>8</v>
      </c>
      <c r="I195" s="7" t="b">
        <v>0</v>
      </c>
      <c r="J195" s="22">
        <f>--Table1[[#This Row],[HOLIDAY]]</f>
        <v>0</v>
      </c>
      <c r="K195" s="9">
        <v>0</v>
      </c>
      <c r="L195" s="7">
        <v>1</v>
      </c>
      <c r="M195" s="7">
        <f>LEN(TEXT(Table1[[#This Row],[WEATHER]],"0"))</f>
        <v>1</v>
      </c>
      <c r="N195" s="36">
        <v>0.1</v>
      </c>
      <c r="O195" s="37">
        <f>VLOOKUP(Table1[[#This Row],[INSTANT]],[1]dataset_2!$A:$G,2,FALSE)</f>
        <v>0.13639999999999999</v>
      </c>
      <c r="P195" s="37">
        <f>VLOOKUP(Table1[[#This Row],[INSTANT]],[1]dataset_2!$A:$G,3,0)</f>
        <v>0.43</v>
      </c>
      <c r="Q195" s="37">
        <f>VLOOKUP(Table1[[#This Row],[INSTANT]],[1]dataset_2!$A:$D,4,FALSE)</f>
        <v>0.32840000000000003</v>
      </c>
      <c r="R195" s="37">
        <f>VLOOKUP(Table1[[#This Row],[INSTANT]],[1]dataset_2!$A:$G,5,0)</f>
        <v>1</v>
      </c>
      <c r="S195" s="38">
        <f>VLOOKUP(Table1[[#This Row],[INSTANT]],[1]dataset_2!$A:$G,6,0)</f>
        <v>40</v>
      </c>
      <c r="T195" s="38">
        <f>VLOOKUP(Table1[[#This Row],[INSTANT]],[1]dataset_2!$A:$G,7,0)</f>
        <v>41</v>
      </c>
    </row>
    <row r="196" spans="1:20" ht="13" x14ac:dyDescent="0.15">
      <c r="A196" s="35">
        <v>195</v>
      </c>
      <c r="B196" s="27">
        <v>40552</v>
      </c>
      <c r="C196" s="8" t="str">
        <f t="shared" si="6"/>
        <v>2011</v>
      </c>
      <c r="D196" s="8" t="str">
        <f t="shared" si="7"/>
        <v>09</v>
      </c>
      <c r="E196" s="7">
        <v>1</v>
      </c>
      <c r="F196" s="7">
        <v>0</v>
      </c>
      <c r="G196" s="7">
        <v>1</v>
      </c>
      <c r="H196" s="7">
        <v>9</v>
      </c>
      <c r="I196" s="7" t="b">
        <v>0</v>
      </c>
      <c r="J196" s="22">
        <f>--Table1[[#This Row],[HOLIDAY]]</f>
        <v>0</v>
      </c>
      <c r="K196" s="9">
        <v>0</v>
      </c>
      <c r="L196" s="7">
        <v>1</v>
      </c>
      <c r="M196" s="7">
        <f>LEN(TEXT(Table1[[#This Row],[WEATHER]],"0"))</f>
        <v>1</v>
      </c>
      <c r="N196" s="36">
        <v>0.12</v>
      </c>
      <c r="O196" s="37">
        <f>VLOOKUP(Table1[[#This Row],[INSTANT]],[1]dataset_2!$A:$G,2,FALSE)</f>
        <v>0.1212</v>
      </c>
      <c r="P196" s="37">
        <f>VLOOKUP(Table1[[#This Row],[INSTANT]],[1]dataset_2!$A:$G,3,0)</f>
        <v>0.46</v>
      </c>
      <c r="Q196" s="37">
        <f>VLOOKUP(Table1[[#This Row],[INSTANT]],[1]dataset_2!$A:$D,4,FALSE)</f>
        <v>0.25369999999999998</v>
      </c>
      <c r="R196" s="37">
        <f>VLOOKUP(Table1[[#This Row],[INSTANT]],[1]dataset_2!$A:$G,5,0)</f>
        <v>0</v>
      </c>
      <c r="S196" s="38">
        <f>VLOOKUP(Table1[[#This Row],[INSTANT]],[1]dataset_2!$A:$G,6,0)</f>
        <v>38</v>
      </c>
      <c r="T196" s="38">
        <f>VLOOKUP(Table1[[#This Row],[INSTANT]],[1]dataset_2!$A:$G,7,0)</f>
        <v>38</v>
      </c>
    </row>
    <row r="197" spans="1:20" ht="13" x14ac:dyDescent="0.15">
      <c r="A197" s="35">
        <v>196</v>
      </c>
      <c r="B197" s="27">
        <v>40552</v>
      </c>
      <c r="C197" s="8" t="str">
        <f t="shared" si="6"/>
        <v>2011</v>
      </c>
      <c r="D197" s="8" t="str">
        <f t="shared" si="7"/>
        <v>09</v>
      </c>
      <c r="E197" s="7">
        <v>1</v>
      </c>
      <c r="F197" s="7">
        <v>0</v>
      </c>
      <c r="G197" s="7">
        <v>1</v>
      </c>
      <c r="H197" s="7">
        <v>10</v>
      </c>
      <c r="I197" s="7" t="b">
        <v>0</v>
      </c>
      <c r="J197" s="22">
        <f>--Table1[[#This Row],[HOLIDAY]]</f>
        <v>0</v>
      </c>
      <c r="K197" s="9">
        <v>0</v>
      </c>
      <c r="L197" s="7">
        <v>1</v>
      </c>
      <c r="M197" s="7">
        <f>LEN(TEXT(Table1[[#This Row],[WEATHER]],"0"))</f>
        <v>1</v>
      </c>
      <c r="N197" s="36">
        <v>0.14000000000000001</v>
      </c>
      <c r="O197" s="37">
        <f>VLOOKUP(Table1[[#This Row],[INSTANT]],[1]dataset_2!$A:$G,2,FALSE)</f>
        <v>0.1061</v>
      </c>
      <c r="P197" s="37">
        <f>VLOOKUP(Table1[[#This Row],[INSTANT]],[1]dataset_2!$A:$G,3,0)</f>
        <v>0.46</v>
      </c>
      <c r="Q197" s="37">
        <f>VLOOKUP(Table1[[#This Row],[INSTANT]],[1]dataset_2!$A:$D,4,FALSE)</f>
        <v>0.41789999999999999</v>
      </c>
      <c r="R197" s="37">
        <f>VLOOKUP(Table1[[#This Row],[INSTANT]],[1]dataset_2!$A:$G,5,0)</f>
        <v>1</v>
      </c>
      <c r="S197" s="38">
        <f>VLOOKUP(Table1[[#This Row],[INSTANT]],[1]dataset_2!$A:$G,6,0)</f>
        <v>19</v>
      </c>
      <c r="T197" s="38">
        <f>VLOOKUP(Table1[[#This Row],[INSTANT]],[1]dataset_2!$A:$G,7,0)</f>
        <v>20</v>
      </c>
    </row>
    <row r="198" spans="1:20" ht="13" x14ac:dyDescent="0.15">
      <c r="A198" s="35">
        <v>197</v>
      </c>
      <c r="B198" s="27">
        <v>40552</v>
      </c>
      <c r="C198" s="8" t="str">
        <f t="shared" si="6"/>
        <v>2011</v>
      </c>
      <c r="D198" s="8" t="str">
        <f t="shared" si="7"/>
        <v>09</v>
      </c>
      <c r="E198" s="7">
        <v>1</v>
      </c>
      <c r="F198" s="7">
        <v>0</v>
      </c>
      <c r="G198" s="7">
        <v>1</v>
      </c>
      <c r="H198" s="7">
        <v>11</v>
      </c>
      <c r="I198" s="7" t="b">
        <v>0</v>
      </c>
      <c r="J198" s="22">
        <f>--Table1[[#This Row],[HOLIDAY]]</f>
        <v>0</v>
      </c>
      <c r="K198" s="9">
        <v>0</v>
      </c>
      <c r="L198" s="7">
        <v>1</v>
      </c>
      <c r="M198" s="7">
        <f>LEN(TEXT(Table1[[#This Row],[WEATHER]],"0"))</f>
        <v>1</v>
      </c>
      <c r="N198" s="36">
        <v>0.16</v>
      </c>
      <c r="O198" s="37">
        <f>VLOOKUP(Table1[[#This Row],[INSTANT]],[1]dataset_2!$A:$G,2,FALSE)</f>
        <v>0.1212</v>
      </c>
      <c r="P198" s="37">
        <f>VLOOKUP(Table1[[#This Row],[INSTANT]],[1]dataset_2!$A:$G,3,0)</f>
        <v>0.46</v>
      </c>
      <c r="Q198" s="37">
        <f>VLOOKUP(Table1[[#This Row],[INSTANT]],[1]dataset_2!$A:$D,4,FALSE)</f>
        <v>0.29849999999999999</v>
      </c>
      <c r="R198" s="37">
        <f>VLOOKUP(Table1[[#This Row],[INSTANT]],[1]dataset_2!$A:$G,5,0)</f>
        <v>5</v>
      </c>
      <c r="S198" s="38">
        <f>VLOOKUP(Table1[[#This Row],[INSTANT]],[1]dataset_2!$A:$G,6,0)</f>
        <v>10</v>
      </c>
      <c r="T198" s="38">
        <f>VLOOKUP(Table1[[#This Row],[INSTANT]],[1]dataset_2!$A:$G,7,0)</f>
        <v>15</v>
      </c>
    </row>
    <row r="199" spans="1:20" ht="13" x14ac:dyDescent="0.15">
      <c r="A199" s="35">
        <v>198</v>
      </c>
      <c r="B199" s="27">
        <v>40552</v>
      </c>
      <c r="C199" s="8" t="str">
        <f t="shared" si="6"/>
        <v>2011</v>
      </c>
      <c r="D199" s="8" t="str">
        <f t="shared" si="7"/>
        <v>09</v>
      </c>
      <c r="E199" s="7">
        <v>1</v>
      </c>
      <c r="F199" s="7">
        <v>0</v>
      </c>
      <c r="G199" s="7">
        <v>1</v>
      </c>
      <c r="H199" s="7">
        <v>12</v>
      </c>
      <c r="I199" s="7" t="b">
        <v>0</v>
      </c>
      <c r="J199" s="22">
        <f>--Table1[[#This Row],[HOLIDAY]]</f>
        <v>0</v>
      </c>
      <c r="K199" s="9">
        <v>0</v>
      </c>
      <c r="L199" s="7">
        <v>1</v>
      </c>
      <c r="M199" s="7">
        <f>LEN(TEXT(Table1[[#This Row],[WEATHER]],"0"))</f>
        <v>1</v>
      </c>
      <c r="N199" s="36">
        <v>0.18</v>
      </c>
      <c r="O199" s="37">
        <f>VLOOKUP(Table1[[#This Row],[INSTANT]],[1]dataset_2!$A:$G,2,FALSE)</f>
        <v>0.13639999999999999</v>
      </c>
      <c r="P199" s="37">
        <f>VLOOKUP(Table1[[#This Row],[INSTANT]],[1]dataset_2!$A:$G,3,0)</f>
        <v>0.5</v>
      </c>
      <c r="Q199" s="37">
        <f>VLOOKUP(Table1[[#This Row],[INSTANT]],[1]dataset_2!$A:$D,4,FALSE)</f>
        <v>0.19400000000000001</v>
      </c>
      <c r="R199" s="37">
        <f>VLOOKUP(Table1[[#This Row],[INSTANT]],[1]dataset_2!$A:$G,5,0)</f>
        <v>0</v>
      </c>
      <c r="S199" s="38">
        <f>VLOOKUP(Table1[[#This Row],[INSTANT]],[1]dataset_2!$A:$G,6,0)</f>
        <v>6</v>
      </c>
      <c r="T199" s="38">
        <f>VLOOKUP(Table1[[#This Row],[INSTANT]],[1]dataset_2!$A:$G,7,0)</f>
        <v>6</v>
      </c>
    </row>
    <row r="200" spans="1:20" ht="13" x14ac:dyDescent="0.15">
      <c r="A200" s="35">
        <v>199</v>
      </c>
      <c r="B200" s="27">
        <v>40552</v>
      </c>
      <c r="C200" s="8" t="str">
        <f t="shared" si="6"/>
        <v>2011</v>
      </c>
      <c r="D200" s="8" t="str">
        <f t="shared" si="7"/>
        <v>09</v>
      </c>
      <c r="E200" s="7">
        <v>1</v>
      </c>
      <c r="F200" s="7">
        <v>0</v>
      </c>
      <c r="G200" s="7">
        <v>1</v>
      </c>
      <c r="H200" s="7">
        <v>13</v>
      </c>
      <c r="I200" s="7" t="b">
        <v>0</v>
      </c>
      <c r="J200" s="22">
        <f>--Table1[[#This Row],[HOLIDAY]]</f>
        <v>0</v>
      </c>
      <c r="K200" s="9">
        <v>0</v>
      </c>
      <c r="L200" s="7">
        <v>1</v>
      </c>
      <c r="M200" s="7">
        <f>LEN(TEXT(Table1[[#This Row],[WEATHER]],"0"))</f>
        <v>1</v>
      </c>
      <c r="N200" s="36">
        <v>0.2</v>
      </c>
      <c r="O200" s="37">
        <f>VLOOKUP(Table1[[#This Row],[INSTANT]],[1]dataset_2!$A:$G,2,FALSE)</f>
        <v>0.1212</v>
      </c>
      <c r="P200" s="37">
        <f>VLOOKUP(Table1[[#This Row],[INSTANT]],[1]dataset_2!$A:$G,3,0)</f>
        <v>0.5</v>
      </c>
      <c r="Q200" s="37">
        <f>VLOOKUP(Table1[[#This Row],[INSTANT]],[1]dataset_2!$A:$D,4,FALSE)</f>
        <v>0.28360000000000002</v>
      </c>
      <c r="R200" s="37">
        <f>VLOOKUP(Table1[[#This Row],[INSTANT]],[1]dataset_2!$A:$G,5,0)</f>
        <v>2</v>
      </c>
      <c r="S200" s="38">
        <f>VLOOKUP(Table1[[#This Row],[INSTANT]],[1]dataset_2!$A:$G,6,0)</f>
        <v>3</v>
      </c>
      <c r="T200" s="38">
        <f>VLOOKUP(Table1[[#This Row],[INSTANT]],[1]dataset_2!$A:$G,7,0)</f>
        <v>5</v>
      </c>
    </row>
    <row r="201" spans="1:20" ht="13" x14ac:dyDescent="0.15">
      <c r="A201" s="35">
        <v>200</v>
      </c>
      <c r="B201" s="27">
        <v>40552</v>
      </c>
      <c r="C201" s="8" t="str">
        <f t="shared" si="6"/>
        <v>2011</v>
      </c>
      <c r="D201" s="8" t="str">
        <f t="shared" si="7"/>
        <v>09</v>
      </c>
      <c r="E201" s="7">
        <v>1</v>
      </c>
      <c r="F201" s="7">
        <v>0</v>
      </c>
      <c r="G201" s="7">
        <v>1</v>
      </c>
      <c r="H201" s="7">
        <v>14</v>
      </c>
      <c r="I201" s="7" t="b">
        <v>0</v>
      </c>
      <c r="J201" s="22">
        <f>--Table1[[#This Row],[HOLIDAY]]</f>
        <v>0</v>
      </c>
      <c r="K201" s="9">
        <v>0</v>
      </c>
      <c r="L201" s="7">
        <v>1</v>
      </c>
      <c r="M201" s="7">
        <f>LEN(TEXT(Table1[[#This Row],[WEATHER]],"0"))</f>
        <v>1</v>
      </c>
      <c r="N201" s="36">
        <v>0.22</v>
      </c>
      <c r="O201" s="37">
        <f>VLOOKUP(Table1[[#This Row],[INSTANT]],[1]dataset_2!$A:$G,2,FALSE)</f>
        <v>0.1212</v>
      </c>
      <c r="P201" s="37">
        <f>VLOOKUP(Table1[[#This Row],[INSTANT]],[1]dataset_2!$A:$G,3,0)</f>
        <v>0.5</v>
      </c>
      <c r="Q201" s="37">
        <f>VLOOKUP(Table1[[#This Row],[INSTANT]],[1]dataset_2!$A:$D,4,FALSE)</f>
        <v>0.28360000000000002</v>
      </c>
      <c r="R201" s="37">
        <f>VLOOKUP(Table1[[#This Row],[INSTANT]],[1]dataset_2!$A:$G,5,0)</f>
        <v>1</v>
      </c>
      <c r="S201" s="38">
        <f>VLOOKUP(Table1[[#This Row],[INSTANT]],[1]dataset_2!$A:$G,6,0)</f>
        <v>0</v>
      </c>
      <c r="T201" s="38">
        <f>VLOOKUP(Table1[[#This Row],[INSTANT]],[1]dataset_2!$A:$G,7,0)</f>
        <v>1</v>
      </c>
    </row>
    <row r="202" spans="1:20" ht="13" x14ac:dyDescent="0.15">
      <c r="A202" s="35">
        <v>201</v>
      </c>
      <c r="B202" s="27">
        <v>40552</v>
      </c>
      <c r="C202" s="8" t="str">
        <f t="shared" si="6"/>
        <v>2011</v>
      </c>
      <c r="D202" s="8" t="str">
        <f t="shared" si="7"/>
        <v>09</v>
      </c>
      <c r="E202" s="7">
        <v>1</v>
      </c>
      <c r="F202" s="7">
        <v>0</v>
      </c>
      <c r="G202" s="7">
        <v>1</v>
      </c>
      <c r="H202" s="7">
        <v>15</v>
      </c>
      <c r="I202" s="7" t="b">
        <v>0</v>
      </c>
      <c r="J202" s="22">
        <f>--Table1[[#This Row],[HOLIDAY]]</f>
        <v>0</v>
      </c>
      <c r="K202" s="9">
        <v>0</v>
      </c>
      <c r="L202" s="7">
        <v>1</v>
      </c>
      <c r="M202" s="7">
        <f>LEN(TEXT(Table1[[#This Row],[WEATHER]],"0"))</f>
        <v>1</v>
      </c>
      <c r="N202" s="36">
        <v>0.22</v>
      </c>
      <c r="O202" s="37">
        <f>VLOOKUP(Table1[[#This Row],[INSTANT]],[1]dataset_2!$A:$G,2,FALSE)</f>
        <v>0.1212</v>
      </c>
      <c r="P202" s="37">
        <f>VLOOKUP(Table1[[#This Row],[INSTANT]],[1]dataset_2!$A:$G,3,0)</f>
        <v>0.5</v>
      </c>
      <c r="Q202" s="37">
        <f>VLOOKUP(Table1[[#This Row],[INSTANT]],[1]dataset_2!$A:$D,4,FALSE)</f>
        <v>0.22389999999999999</v>
      </c>
      <c r="R202" s="37">
        <f>VLOOKUP(Table1[[#This Row],[INSTANT]],[1]dataset_2!$A:$G,5,0)</f>
        <v>0</v>
      </c>
      <c r="S202" s="38">
        <f>VLOOKUP(Table1[[#This Row],[INSTANT]],[1]dataset_2!$A:$G,6,0)</f>
        <v>3</v>
      </c>
      <c r="T202" s="38">
        <f>VLOOKUP(Table1[[#This Row],[INSTANT]],[1]dataset_2!$A:$G,7,0)</f>
        <v>3</v>
      </c>
    </row>
    <row r="203" spans="1:20" ht="13" x14ac:dyDescent="0.15">
      <c r="A203" s="35">
        <v>202</v>
      </c>
      <c r="B203" s="27">
        <v>40552</v>
      </c>
      <c r="C203" s="8" t="str">
        <f t="shared" si="6"/>
        <v>2011</v>
      </c>
      <c r="D203" s="8" t="str">
        <f t="shared" si="7"/>
        <v>09</v>
      </c>
      <c r="E203" s="7">
        <v>1</v>
      </c>
      <c r="F203" s="7">
        <v>0</v>
      </c>
      <c r="G203" s="7">
        <v>1</v>
      </c>
      <c r="H203" s="7">
        <v>16</v>
      </c>
      <c r="I203" s="7" t="b">
        <v>0</v>
      </c>
      <c r="J203" s="22">
        <f>--Table1[[#This Row],[HOLIDAY]]</f>
        <v>0</v>
      </c>
      <c r="K203" s="9">
        <v>0</v>
      </c>
      <c r="L203" s="7">
        <v>1</v>
      </c>
      <c r="M203" s="7">
        <f>LEN(TEXT(Table1[[#This Row],[WEATHER]],"0"))</f>
        <v>1</v>
      </c>
      <c r="N203" s="36">
        <v>0.2</v>
      </c>
      <c r="O203" s="37">
        <f>VLOOKUP(Table1[[#This Row],[INSTANT]],[1]dataset_2!$A:$G,2,FALSE)</f>
        <v>0.1212</v>
      </c>
      <c r="P203" s="37">
        <f>VLOOKUP(Table1[[#This Row],[INSTANT]],[1]dataset_2!$A:$G,3,0)</f>
        <v>0.5</v>
      </c>
      <c r="Q203" s="37">
        <f>VLOOKUP(Table1[[#This Row],[INSTANT]],[1]dataset_2!$A:$D,4,FALSE)</f>
        <v>0.22389999999999999</v>
      </c>
      <c r="R203" s="37">
        <f>VLOOKUP(Table1[[#This Row],[INSTANT]],[1]dataset_2!$A:$G,5,0)</f>
        <v>0</v>
      </c>
      <c r="S203" s="38">
        <f>VLOOKUP(Table1[[#This Row],[INSTANT]],[1]dataset_2!$A:$G,6,0)</f>
        <v>1</v>
      </c>
      <c r="T203" s="38">
        <f>VLOOKUP(Table1[[#This Row],[INSTANT]],[1]dataset_2!$A:$G,7,0)</f>
        <v>1</v>
      </c>
    </row>
    <row r="204" spans="1:20" ht="13" x14ac:dyDescent="0.15">
      <c r="A204" s="35">
        <v>203</v>
      </c>
      <c r="B204" s="27">
        <v>40552</v>
      </c>
      <c r="C204" s="8" t="str">
        <f t="shared" si="6"/>
        <v>2011</v>
      </c>
      <c r="D204" s="8" t="str">
        <f t="shared" si="7"/>
        <v>09</v>
      </c>
      <c r="E204" s="7">
        <v>1</v>
      </c>
      <c r="F204" s="7">
        <v>0</v>
      </c>
      <c r="G204" s="7">
        <v>1</v>
      </c>
      <c r="H204" s="7">
        <v>17</v>
      </c>
      <c r="I204" s="7" t="b">
        <v>0</v>
      </c>
      <c r="J204" s="22">
        <f>--Table1[[#This Row],[HOLIDAY]]</f>
        <v>0</v>
      </c>
      <c r="K204" s="9">
        <v>0</v>
      </c>
      <c r="L204" s="7">
        <v>1</v>
      </c>
      <c r="M204" s="7">
        <f>LEN(TEXT(Table1[[#This Row],[WEATHER]],"0"))</f>
        <v>1</v>
      </c>
      <c r="N204" s="36">
        <v>0.18</v>
      </c>
      <c r="O204" s="37">
        <f>VLOOKUP(Table1[[#This Row],[INSTANT]],[1]dataset_2!$A:$G,2,FALSE)</f>
        <v>0.1212</v>
      </c>
      <c r="P204" s="37">
        <f>VLOOKUP(Table1[[#This Row],[INSTANT]],[1]dataset_2!$A:$G,3,0)</f>
        <v>0.54</v>
      </c>
      <c r="Q204" s="37">
        <f>VLOOKUP(Table1[[#This Row],[INSTANT]],[1]dataset_2!$A:$D,4,FALSE)</f>
        <v>0.1343</v>
      </c>
      <c r="R204" s="37">
        <f>VLOOKUP(Table1[[#This Row],[INSTANT]],[1]dataset_2!$A:$G,5,0)</f>
        <v>1</v>
      </c>
      <c r="S204" s="38">
        <f>VLOOKUP(Table1[[#This Row],[INSTANT]],[1]dataset_2!$A:$G,6,0)</f>
        <v>2</v>
      </c>
      <c r="T204" s="38">
        <f>VLOOKUP(Table1[[#This Row],[INSTANT]],[1]dataset_2!$A:$G,7,0)</f>
        <v>3</v>
      </c>
    </row>
    <row r="205" spans="1:20" ht="13" x14ac:dyDescent="0.15">
      <c r="A205" s="35">
        <v>204</v>
      </c>
      <c r="B205" s="27">
        <v>40552</v>
      </c>
      <c r="C205" s="8" t="str">
        <f t="shared" si="6"/>
        <v>2011</v>
      </c>
      <c r="D205" s="8" t="str">
        <f t="shared" si="7"/>
        <v>09</v>
      </c>
      <c r="E205" s="7">
        <v>1</v>
      </c>
      <c r="F205" s="7">
        <v>0</v>
      </c>
      <c r="G205" s="7">
        <v>1</v>
      </c>
      <c r="H205" s="7">
        <v>18</v>
      </c>
      <c r="I205" s="7" t="b">
        <v>0</v>
      </c>
      <c r="J205" s="22">
        <f>--Table1[[#This Row],[HOLIDAY]]</f>
        <v>0</v>
      </c>
      <c r="K205" s="9">
        <v>0</v>
      </c>
      <c r="L205" s="7">
        <v>1</v>
      </c>
      <c r="M205" s="7">
        <f>LEN(TEXT(Table1[[#This Row],[WEATHER]],"0"))</f>
        <v>1</v>
      </c>
      <c r="N205" s="36">
        <v>0.16</v>
      </c>
      <c r="O205" s="37">
        <f>VLOOKUP(Table1[[#This Row],[INSTANT]],[1]dataset_2!$A:$G,2,FALSE)</f>
        <v>0.1061</v>
      </c>
      <c r="P205" s="37">
        <f>VLOOKUP(Table1[[#This Row],[INSTANT]],[1]dataset_2!$A:$G,3,0)</f>
        <v>0.54</v>
      </c>
      <c r="Q205" s="37">
        <f>VLOOKUP(Table1[[#This Row],[INSTANT]],[1]dataset_2!$A:$D,4,FALSE)</f>
        <v>0.25369999999999998</v>
      </c>
      <c r="R205" s="37">
        <f>VLOOKUP(Table1[[#This Row],[INSTANT]],[1]dataset_2!$A:$G,5,0)</f>
        <v>0</v>
      </c>
      <c r="S205" s="38">
        <f>VLOOKUP(Table1[[#This Row],[INSTANT]],[1]dataset_2!$A:$G,6,0)</f>
        <v>3</v>
      </c>
      <c r="T205" s="38">
        <f>VLOOKUP(Table1[[#This Row],[INSTANT]],[1]dataset_2!$A:$G,7,0)</f>
        <v>3</v>
      </c>
    </row>
    <row r="206" spans="1:20" ht="13" x14ac:dyDescent="0.15">
      <c r="A206" s="35">
        <v>205</v>
      </c>
      <c r="B206" s="27">
        <v>40552</v>
      </c>
      <c r="C206" s="8" t="str">
        <f t="shared" si="6"/>
        <v>2011</v>
      </c>
      <c r="D206" s="8" t="str">
        <f t="shared" si="7"/>
        <v>09</v>
      </c>
      <c r="E206" s="7">
        <v>1</v>
      </c>
      <c r="F206" s="7">
        <v>0</v>
      </c>
      <c r="G206" s="7">
        <v>1</v>
      </c>
      <c r="H206" s="7">
        <v>19</v>
      </c>
      <c r="I206" s="7" t="b">
        <v>0</v>
      </c>
      <c r="J206" s="22">
        <f>--Table1[[#This Row],[HOLIDAY]]</f>
        <v>0</v>
      </c>
      <c r="K206" s="9">
        <v>0</v>
      </c>
      <c r="L206" s="7">
        <v>1</v>
      </c>
      <c r="M206" s="7">
        <f>LEN(TEXT(Table1[[#This Row],[WEATHER]],"0"))</f>
        <v>1</v>
      </c>
      <c r="N206" s="36">
        <v>0.16</v>
      </c>
      <c r="O206" s="37">
        <f>VLOOKUP(Table1[[#This Row],[INSTANT]],[1]dataset_2!$A:$G,2,FALSE)</f>
        <v>0.1212</v>
      </c>
      <c r="P206" s="37">
        <f>VLOOKUP(Table1[[#This Row],[INSTANT]],[1]dataset_2!$A:$G,3,0)</f>
        <v>0.5</v>
      </c>
      <c r="Q206" s="37">
        <f>VLOOKUP(Table1[[#This Row],[INSTANT]],[1]dataset_2!$A:$D,4,FALSE)</f>
        <v>0.28360000000000002</v>
      </c>
      <c r="R206" s="37">
        <f>VLOOKUP(Table1[[#This Row],[INSTANT]],[1]dataset_2!$A:$G,5,0)</f>
        <v>0</v>
      </c>
      <c r="S206" s="38">
        <f>VLOOKUP(Table1[[#This Row],[INSTANT]],[1]dataset_2!$A:$G,6,0)</f>
        <v>31</v>
      </c>
      <c r="T206" s="38">
        <f>VLOOKUP(Table1[[#This Row],[INSTANT]],[1]dataset_2!$A:$G,7,0)</f>
        <v>31</v>
      </c>
    </row>
    <row r="207" spans="1:20" ht="13" x14ac:dyDescent="0.15">
      <c r="A207" s="35">
        <v>206</v>
      </c>
      <c r="B207" s="27">
        <v>40552</v>
      </c>
      <c r="C207" s="8" t="str">
        <f t="shared" si="6"/>
        <v>2011</v>
      </c>
      <c r="D207" s="8" t="str">
        <f t="shared" si="7"/>
        <v>09</v>
      </c>
      <c r="E207" s="7">
        <v>1</v>
      </c>
      <c r="F207" s="7">
        <v>0</v>
      </c>
      <c r="G207" s="7">
        <v>1</v>
      </c>
      <c r="H207" s="7">
        <v>20</v>
      </c>
      <c r="I207" s="7" t="b">
        <v>0</v>
      </c>
      <c r="J207" s="22">
        <f>--Table1[[#This Row],[HOLIDAY]]</f>
        <v>0</v>
      </c>
      <c r="K207" s="9">
        <v>0</v>
      </c>
      <c r="L207" s="7">
        <v>1</v>
      </c>
      <c r="M207" s="7">
        <f>LEN(TEXT(Table1[[#This Row],[WEATHER]],"0"))</f>
        <v>1</v>
      </c>
      <c r="N207" s="36">
        <v>0.14000000000000001</v>
      </c>
      <c r="O207" s="37">
        <f>VLOOKUP(Table1[[#This Row],[INSTANT]],[1]dataset_2!$A:$G,2,FALSE)</f>
        <v>0.1212</v>
      </c>
      <c r="P207" s="37">
        <f>VLOOKUP(Table1[[#This Row],[INSTANT]],[1]dataset_2!$A:$G,3,0)</f>
        <v>0.5</v>
      </c>
      <c r="Q207" s="37">
        <f>VLOOKUP(Table1[[#This Row],[INSTANT]],[1]dataset_2!$A:$D,4,FALSE)</f>
        <v>0.22389999999999999</v>
      </c>
      <c r="R207" s="37">
        <f>VLOOKUP(Table1[[#This Row],[INSTANT]],[1]dataset_2!$A:$G,5,0)</f>
        <v>2</v>
      </c>
      <c r="S207" s="38">
        <f>VLOOKUP(Table1[[#This Row],[INSTANT]],[1]dataset_2!$A:$G,6,0)</f>
        <v>75</v>
      </c>
      <c r="T207" s="38">
        <f>VLOOKUP(Table1[[#This Row],[INSTANT]],[1]dataset_2!$A:$G,7,0)</f>
        <v>77</v>
      </c>
    </row>
    <row r="208" spans="1:20" ht="13" x14ac:dyDescent="0.15">
      <c r="A208" s="35">
        <v>207</v>
      </c>
      <c r="B208" s="27">
        <v>40552</v>
      </c>
      <c r="C208" s="8" t="str">
        <f t="shared" si="6"/>
        <v>2011</v>
      </c>
      <c r="D208" s="8" t="str">
        <f t="shared" si="7"/>
        <v>09</v>
      </c>
      <c r="E208" s="7">
        <v>1</v>
      </c>
      <c r="F208" s="7">
        <v>0</v>
      </c>
      <c r="G208" s="7">
        <v>1</v>
      </c>
      <c r="H208" s="7">
        <v>21</v>
      </c>
      <c r="I208" s="7" t="b">
        <v>0</v>
      </c>
      <c r="J208" s="22">
        <f>--Table1[[#This Row],[HOLIDAY]]</f>
        <v>0</v>
      </c>
      <c r="K208" s="9">
        <v>0</v>
      </c>
      <c r="L208" s="7">
        <v>1</v>
      </c>
      <c r="M208" s="7">
        <f>LEN(TEXT(Table1[[#This Row],[WEATHER]],"0"))</f>
        <v>1</v>
      </c>
      <c r="N208" s="36">
        <v>0.14000000000000001</v>
      </c>
      <c r="O208" s="37">
        <f>VLOOKUP(Table1[[#This Row],[INSTANT]],[1]dataset_2!$A:$G,2,FALSE)</f>
        <v>0.1212</v>
      </c>
      <c r="P208" s="37">
        <f>VLOOKUP(Table1[[#This Row],[INSTANT]],[1]dataset_2!$A:$G,3,0)</f>
        <v>0.5</v>
      </c>
      <c r="Q208" s="37">
        <f>VLOOKUP(Table1[[#This Row],[INSTANT]],[1]dataset_2!$A:$D,4,FALSE)</f>
        <v>0.28360000000000002</v>
      </c>
      <c r="R208" s="37">
        <f>VLOOKUP(Table1[[#This Row],[INSTANT]],[1]dataset_2!$A:$G,5,0)</f>
        <v>4</v>
      </c>
      <c r="S208" s="38">
        <f>VLOOKUP(Table1[[#This Row],[INSTANT]],[1]dataset_2!$A:$G,6,0)</f>
        <v>184</v>
      </c>
      <c r="T208" s="38">
        <f>VLOOKUP(Table1[[#This Row],[INSTANT]],[1]dataset_2!$A:$G,7,0)</f>
        <v>188</v>
      </c>
    </row>
    <row r="209" spans="1:20" ht="13" x14ac:dyDescent="0.15">
      <c r="A209" s="35">
        <v>208</v>
      </c>
      <c r="B209" s="27">
        <v>40552</v>
      </c>
      <c r="C209" s="8" t="str">
        <f t="shared" si="6"/>
        <v>2011</v>
      </c>
      <c r="D209" s="8" t="str">
        <f t="shared" si="7"/>
        <v>09</v>
      </c>
      <c r="E209" s="7">
        <v>1</v>
      </c>
      <c r="F209" s="7">
        <v>0</v>
      </c>
      <c r="G209" s="7">
        <v>1</v>
      </c>
      <c r="H209" s="7">
        <v>22</v>
      </c>
      <c r="I209" s="7" t="b">
        <v>0</v>
      </c>
      <c r="J209" s="22">
        <f>--Table1[[#This Row],[HOLIDAY]]</f>
        <v>0</v>
      </c>
      <c r="K209" s="9">
        <v>0</v>
      </c>
      <c r="L209" s="7">
        <v>1</v>
      </c>
      <c r="M209" s="7">
        <f>LEN(TEXT(Table1[[#This Row],[WEATHER]],"0"))</f>
        <v>1</v>
      </c>
      <c r="N209" s="36">
        <v>0.14000000000000001</v>
      </c>
      <c r="O209" s="37">
        <f>VLOOKUP(Table1[[#This Row],[INSTANT]],[1]dataset_2!$A:$G,2,FALSE)</f>
        <v>0.1212</v>
      </c>
      <c r="P209" s="37">
        <f>VLOOKUP(Table1[[#This Row],[INSTANT]],[1]dataset_2!$A:$G,3,0)</f>
        <v>0.5</v>
      </c>
      <c r="Q209" s="37">
        <f>VLOOKUP(Table1[[#This Row],[INSTANT]],[1]dataset_2!$A:$D,4,FALSE)</f>
        <v>0.25369999999999998</v>
      </c>
      <c r="R209" s="37">
        <f>VLOOKUP(Table1[[#This Row],[INSTANT]],[1]dataset_2!$A:$G,5,0)</f>
        <v>2</v>
      </c>
      <c r="S209" s="38">
        <f>VLOOKUP(Table1[[#This Row],[INSTANT]],[1]dataset_2!$A:$G,6,0)</f>
        <v>92</v>
      </c>
      <c r="T209" s="38">
        <f>VLOOKUP(Table1[[#This Row],[INSTANT]],[1]dataset_2!$A:$G,7,0)</f>
        <v>94</v>
      </c>
    </row>
    <row r="210" spans="1:20" ht="13" x14ac:dyDescent="0.15">
      <c r="A210" s="35">
        <v>209</v>
      </c>
      <c r="B210" s="27">
        <v>40552</v>
      </c>
      <c r="C210" s="8" t="str">
        <f t="shared" si="6"/>
        <v>2011</v>
      </c>
      <c r="D210" s="8" t="str">
        <f t="shared" si="7"/>
        <v>09</v>
      </c>
      <c r="E210" s="7">
        <v>1</v>
      </c>
      <c r="F210" s="7">
        <v>0</v>
      </c>
      <c r="G210" s="7">
        <v>1</v>
      </c>
      <c r="H210" s="7">
        <v>23</v>
      </c>
      <c r="I210" s="7" t="b">
        <v>0</v>
      </c>
      <c r="J210" s="22">
        <f>--Table1[[#This Row],[HOLIDAY]]</f>
        <v>0</v>
      </c>
      <c r="K210" s="9">
        <v>0</v>
      </c>
      <c r="L210" s="7">
        <v>1</v>
      </c>
      <c r="M210" s="7">
        <f>LEN(TEXT(Table1[[#This Row],[WEATHER]],"0"))</f>
        <v>1</v>
      </c>
      <c r="N210" s="36">
        <v>0.12</v>
      </c>
      <c r="O210" s="37">
        <f>VLOOKUP(Table1[[#This Row],[INSTANT]],[1]dataset_2!$A:$G,2,FALSE)</f>
        <v>0.1212</v>
      </c>
      <c r="P210" s="37">
        <f>VLOOKUP(Table1[[#This Row],[INSTANT]],[1]dataset_2!$A:$G,3,0)</f>
        <v>0.5</v>
      </c>
      <c r="Q210" s="37">
        <f>VLOOKUP(Table1[[#This Row],[INSTANT]],[1]dataset_2!$A:$D,4,FALSE)</f>
        <v>0.29849999999999999</v>
      </c>
      <c r="R210" s="37">
        <f>VLOOKUP(Table1[[#This Row],[INSTANT]],[1]dataset_2!$A:$G,5,0)</f>
        <v>0</v>
      </c>
      <c r="S210" s="38">
        <f>VLOOKUP(Table1[[#This Row],[INSTANT]],[1]dataset_2!$A:$G,6,0)</f>
        <v>31</v>
      </c>
      <c r="T210" s="38">
        <f>VLOOKUP(Table1[[#This Row],[INSTANT]],[1]dataset_2!$A:$G,7,0)</f>
        <v>31</v>
      </c>
    </row>
    <row r="211" spans="1:20" ht="13" x14ac:dyDescent="0.15">
      <c r="A211" s="35">
        <v>210</v>
      </c>
      <c r="B211" s="27">
        <v>40553</v>
      </c>
      <c r="C211" s="8" t="str">
        <f t="shared" si="6"/>
        <v>2011</v>
      </c>
      <c r="D211" s="8" t="str">
        <f t="shared" si="7"/>
        <v>10</v>
      </c>
      <c r="E211" s="7">
        <v>1</v>
      </c>
      <c r="F211" s="7">
        <v>0</v>
      </c>
      <c r="G211" s="7">
        <v>1</v>
      </c>
      <c r="H211" s="7">
        <v>0</v>
      </c>
      <c r="I211" s="7" t="b">
        <v>0</v>
      </c>
      <c r="J211" s="22">
        <f>--Table1[[#This Row],[HOLIDAY]]</f>
        <v>0</v>
      </c>
      <c r="K211" s="9">
        <v>1</v>
      </c>
      <c r="L211" s="7">
        <v>1</v>
      </c>
      <c r="M211" s="7">
        <f>LEN(TEXT(Table1[[#This Row],[WEATHER]],"0"))</f>
        <v>1</v>
      </c>
      <c r="N211" s="36">
        <v>0.12</v>
      </c>
      <c r="O211" s="37">
        <f>VLOOKUP(Table1[[#This Row],[INSTANT]],[1]dataset_2!$A:$G,2,FALSE)</f>
        <v>0.13639999999999999</v>
      </c>
      <c r="P211" s="37">
        <f>VLOOKUP(Table1[[#This Row],[INSTANT]],[1]dataset_2!$A:$G,3,0)</f>
        <v>0.47</v>
      </c>
      <c r="Q211" s="37">
        <f>VLOOKUP(Table1[[#This Row],[INSTANT]],[1]dataset_2!$A:$D,4,FALSE)</f>
        <v>0.28360000000000002</v>
      </c>
      <c r="R211" s="37">
        <f>VLOOKUP(Table1[[#This Row],[INSTANT]],[1]dataset_2!$A:$G,5,0)</f>
        <v>2</v>
      </c>
      <c r="S211" s="38">
        <f>VLOOKUP(Table1[[#This Row],[INSTANT]],[1]dataset_2!$A:$G,6,0)</f>
        <v>28</v>
      </c>
      <c r="T211" s="38">
        <f>VLOOKUP(Table1[[#This Row],[INSTANT]],[1]dataset_2!$A:$G,7,0)</f>
        <v>30</v>
      </c>
    </row>
    <row r="212" spans="1:20" ht="13" x14ac:dyDescent="0.15">
      <c r="A212" s="35">
        <v>211</v>
      </c>
      <c r="B212" s="27">
        <v>40553</v>
      </c>
      <c r="C212" s="8" t="str">
        <f t="shared" si="6"/>
        <v>2011</v>
      </c>
      <c r="D212" s="8" t="str">
        <f t="shared" si="7"/>
        <v>10</v>
      </c>
      <c r="E212" s="7">
        <v>1</v>
      </c>
      <c r="F212" s="7">
        <v>0</v>
      </c>
      <c r="G212" s="7">
        <v>1</v>
      </c>
      <c r="H212" s="7">
        <v>1</v>
      </c>
      <c r="I212" s="7" t="b">
        <v>0</v>
      </c>
      <c r="J212" s="22">
        <f>--Table1[[#This Row],[HOLIDAY]]</f>
        <v>0</v>
      </c>
      <c r="K212" s="9">
        <v>1</v>
      </c>
      <c r="L212" s="7">
        <v>1</v>
      </c>
      <c r="M212" s="7">
        <f>LEN(TEXT(Table1[[#This Row],[WEATHER]],"0"))</f>
        <v>1</v>
      </c>
      <c r="N212" s="36">
        <v>0.12</v>
      </c>
      <c r="O212" s="37">
        <f>VLOOKUP(Table1[[#This Row],[INSTANT]],[1]dataset_2!$A:$G,2,FALSE)</f>
        <v>0.18179999999999999</v>
      </c>
      <c r="P212" s="37">
        <f>VLOOKUP(Table1[[#This Row],[INSTANT]],[1]dataset_2!$A:$G,3,0)</f>
        <v>0.4</v>
      </c>
      <c r="Q212" s="37">
        <f>VLOOKUP(Table1[[#This Row],[INSTANT]],[1]dataset_2!$A:$D,4,FALSE)</f>
        <v>0.28360000000000002</v>
      </c>
      <c r="R212" s="37">
        <f>VLOOKUP(Table1[[#This Row],[INSTANT]],[1]dataset_2!$A:$G,5,0)</f>
        <v>5</v>
      </c>
      <c r="S212" s="38">
        <f>VLOOKUP(Table1[[#This Row],[INSTANT]],[1]dataset_2!$A:$G,6,0)</f>
        <v>47</v>
      </c>
      <c r="T212" s="38">
        <f>VLOOKUP(Table1[[#This Row],[INSTANT]],[1]dataset_2!$A:$G,7,0)</f>
        <v>52</v>
      </c>
    </row>
    <row r="213" spans="1:20" ht="13" x14ac:dyDescent="0.15">
      <c r="A213" s="35">
        <v>212</v>
      </c>
      <c r="B213" s="27">
        <v>40553</v>
      </c>
      <c r="C213" s="8" t="str">
        <f t="shared" si="6"/>
        <v>2011</v>
      </c>
      <c r="D213" s="8" t="str">
        <f t="shared" si="7"/>
        <v>10</v>
      </c>
      <c r="E213" s="7">
        <v>1</v>
      </c>
      <c r="F213" s="7">
        <v>0</v>
      </c>
      <c r="G213" s="7">
        <v>1</v>
      </c>
      <c r="H213" s="7">
        <v>2</v>
      </c>
      <c r="I213" s="7" t="b">
        <v>0</v>
      </c>
      <c r="J213" s="22">
        <f>--Table1[[#This Row],[HOLIDAY]]</f>
        <v>0</v>
      </c>
      <c r="K213" s="9">
        <v>1</v>
      </c>
      <c r="L213" s="7">
        <v>1</v>
      </c>
      <c r="M213" s="7">
        <f>LEN(TEXT(Table1[[#This Row],[WEATHER]],"0"))</f>
        <v>1</v>
      </c>
      <c r="N213" s="36">
        <v>0.12</v>
      </c>
      <c r="O213" s="37">
        <f>VLOOKUP(Table1[[#This Row],[INSTANT]],[1]dataset_2!$A:$G,2,FALSE)</f>
        <v>0.18179999999999999</v>
      </c>
      <c r="P213" s="37">
        <f>VLOOKUP(Table1[[#This Row],[INSTANT]],[1]dataset_2!$A:$G,3,0)</f>
        <v>0.4</v>
      </c>
      <c r="Q213" s="37">
        <f>VLOOKUP(Table1[[#This Row],[INSTANT]],[1]dataset_2!$A:$D,4,FALSE)</f>
        <v>0.28360000000000002</v>
      </c>
      <c r="R213" s="37">
        <f>VLOOKUP(Table1[[#This Row],[INSTANT]],[1]dataset_2!$A:$G,5,0)</f>
        <v>4</v>
      </c>
      <c r="S213" s="38">
        <f>VLOOKUP(Table1[[#This Row],[INSTANT]],[1]dataset_2!$A:$G,6,0)</f>
        <v>50</v>
      </c>
      <c r="T213" s="38">
        <f>VLOOKUP(Table1[[#This Row],[INSTANT]],[1]dataset_2!$A:$G,7,0)</f>
        <v>54</v>
      </c>
    </row>
    <row r="214" spans="1:20" ht="13" x14ac:dyDescent="0.15">
      <c r="A214" s="35">
        <v>213</v>
      </c>
      <c r="B214" s="27">
        <v>40553</v>
      </c>
      <c r="C214" s="8" t="str">
        <f t="shared" si="6"/>
        <v>2011</v>
      </c>
      <c r="D214" s="8" t="str">
        <f t="shared" si="7"/>
        <v>10</v>
      </c>
      <c r="E214" s="7">
        <v>1</v>
      </c>
      <c r="F214" s="7">
        <v>0</v>
      </c>
      <c r="G214" s="7">
        <v>1</v>
      </c>
      <c r="H214" s="7">
        <v>3</v>
      </c>
      <c r="I214" s="7" t="b">
        <v>0</v>
      </c>
      <c r="J214" s="22">
        <f>--Table1[[#This Row],[HOLIDAY]]</f>
        <v>0</v>
      </c>
      <c r="K214" s="9">
        <v>1</v>
      </c>
      <c r="L214" s="7">
        <v>1</v>
      </c>
      <c r="M214" s="7">
        <f>LEN(TEXT(Table1[[#This Row],[WEATHER]],"0"))</f>
        <v>1</v>
      </c>
      <c r="N214" s="36">
        <v>0.12</v>
      </c>
      <c r="O214" s="37">
        <f>VLOOKUP(Table1[[#This Row],[INSTANT]],[1]dataset_2!$A:$G,2,FALSE)</f>
        <v>0.19700000000000001</v>
      </c>
      <c r="P214" s="37">
        <f>VLOOKUP(Table1[[#This Row],[INSTANT]],[1]dataset_2!$A:$G,3,0)</f>
        <v>0.4</v>
      </c>
      <c r="Q214" s="37">
        <f>VLOOKUP(Table1[[#This Row],[INSTANT]],[1]dataset_2!$A:$D,4,FALSE)</f>
        <v>0.22389999999999999</v>
      </c>
      <c r="R214" s="37">
        <f>VLOOKUP(Table1[[#This Row],[INSTANT]],[1]dataset_2!$A:$G,5,0)</f>
        <v>0</v>
      </c>
      <c r="S214" s="38">
        <f>VLOOKUP(Table1[[#This Row],[INSTANT]],[1]dataset_2!$A:$G,6,0)</f>
        <v>47</v>
      </c>
      <c r="T214" s="38">
        <f>VLOOKUP(Table1[[#This Row],[INSTANT]],[1]dataset_2!$A:$G,7,0)</f>
        <v>47</v>
      </c>
    </row>
    <row r="215" spans="1:20" ht="13" x14ac:dyDescent="0.15">
      <c r="A215" s="35">
        <v>214</v>
      </c>
      <c r="B215" s="27">
        <v>40553</v>
      </c>
      <c r="C215" s="8" t="str">
        <f t="shared" si="6"/>
        <v>2011</v>
      </c>
      <c r="D215" s="8" t="str">
        <f t="shared" si="7"/>
        <v>10</v>
      </c>
      <c r="E215" s="7">
        <v>1</v>
      </c>
      <c r="F215" s="7">
        <v>0</v>
      </c>
      <c r="G215" s="7">
        <v>1</v>
      </c>
      <c r="H215" s="7">
        <v>4</v>
      </c>
      <c r="I215" s="7" t="b">
        <v>0</v>
      </c>
      <c r="J215" s="22">
        <f>--Table1[[#This Row],[HOLIDAY]]</f>
        <v>0</v>
      </c>
      <c r="K215" s="9">
        <v>1</v>
      </c>
      <c r="L215" s="7">
        <v>1</v>
      </c>
      <c r="M215" s="7">
        <f>LEN(TEXT(Table1[[#This Row],[WEATHER]],"0"))</f>
        <v>1</v>
      </c>
      <c r="N215" s="36">
        <v>0.1</v>
      </c>
      <c r="O215" s="37">
        <f>VLOOKUP(Table1[[#This Row],[INSTANT]],[1]dataset_2!$A:$G,2,FALSE)</f>
        <v>0.19700000000000001</v>
      </c>
      <c r="P215" s="37">
        <f>VLOOKUP(Table1[[#This Row],[INSTANT]],[1]dataset_2!$A:$G,3,0)</f>
        <v>0.4</v>
      </c>
      <c r="Q215" s="37">
        <f>VLOOKUP(Table1[[#This Row],[INSTANT]],[1]dataset_2!$A:$D,4,FALSE)</f>
        <v>0.22389999999999999</v>
      </c>
      <c r="R215" s="37">
        <f>VLOOKUP(Table1[[#This Row],[INSTANT]],[1]dataset_2!$A:$G,5,0)</f>
        <v>2</v>
      </c>
      <c r="S215" s="38">
        <f>VLOOKUP(Table1[[#This Row],[INSTANT]],[1]dataset_2!$A:$G,6,0)</f>
        <v>43</v>
      </c>
      <c r="T215" s="38">
        <f>VLOOKUP(Table1[[#This Row],[INSTANT]],[1]dataset_2!$A:$G,7,0)</f>
        <v>45</v>
      </c>
    </row>
    <row r="216" spans="1:20" ht="13" x14ac:dyDescent="0.15">
      <c r="A216" s="35">
        <v>215</v>
      </c>
      <c r="B216" s="27">
        <v>40553</v>
      </c>
      <c r="C216" s="8" t="str">
        <f t="shared" si="6"/>
        <v>2011</v>
      </c>
      <c r="D216" s="8" t="str">
        <f t="shared" si="7"/>
        <v>10</v>
      </c>
      <c r="E216" s="7">
        <v>1</v>
      </c>
      <c r="F216" s="7">
        <v>0</v>
      </c>
      <c r="G216" s="7">
        <v>1</v>
      </c>
      <c r="H216" s="7">
        <v>5</v>
      </c>
      <c r="I216" s="7" t="b">
        <v>0</v>
      </c>
      <c r="J216" s="22">
        <f>--Table1[[#This Row],[HOLIDAY]]</f>
        <v>0</v>
      </c>
      <c r="K216" s="9">
        <v>1</v>
      </c>
      <c r="L216" s="7">
        <v>1</v>
      </c>
      <c r="M216" s="7">
        <f>LEN(TEXT(Table1[[#This Row],[WEATHER]],"0"))</f>
        <v>1</v>
      </c>
      <c r="N216" s="36">
        <v>0.1</v>
      </c>
      <c r="O216" s="37">
        <f>VLOOKUP(Table1[[#This Row],[INSTANT]],[1]dataset_2!$A:$G,2,FALSE)</f>
        <v>0.21210000000000001</v>
      </c>
      <c r="P216" s="37">
        <f>VLOOKUP(Table1[[#This Row],[INSTANT]],[1]dataset_2!$A:$G,3,0)</f>
        <v>0.4</v>
      </c>
      <c r="Q216" s="37">
        <f>VLOOKUP(Table1[[#This Row],[INSTANT]],[1]dataset_2!$A:$D,4,FALSE)</f>
        <v>0.1343</v>
      </c>
      <c r="R216" s="37">
        <f>VLOOKUP(Table1[[#This Row],[INSTANT]],[1]dataset_2!$A:$G,5,0)</f>
        <v>4</v>
      </c>
      <c r="S216" s="38">
        <f>VLOOKUP(Table1[[#This Row],[INSTANT]],[1]dataset_2!$A:$G,6,0)</f>
        <v>70</v>
      </c>
      <c r="T216" s="38">
        <f>VLOOKUP(Table1[[#This Row],[INSTANT]],[1]dataset_2!$A:$G,7,0)</f>
        <v>74</v>
      </c>
    </row>
    <row r="217" spans="1:20" ht="13" x14ac:dyDescent="0.15">
      <c r="A217" s="35">
        <v>216</v>
      </c>
      <c r="B217" s="27">
        <v>40553</v>
      </c>
      <c r="C217" s="8" t="str">
        <f t="shared" si="6"/>
        <v>2011</v>
      </c>
      <c r="D217" s="8" t="str">
        <f t="shared" si="7"/>
        <v>10</v>
      </c>
      <c r="E217" s="7">
        <v>1</v>
      </c>
      <c r="F217" s="7">
        <v>0</v>
      </c>
      <c r="G217" s="7">
        <v>1</v>
      </c>
      <c r="H217" s="7">
        <v>6</v>
      </c>
      <c r="I217" s="7" t="b">
        <v>0</v>
      </c>
      <c r="J217" s="22">
        <f>--Table1[[#This Row],[HOLIDAY]]</f>
        <v>0</v>
      </c>
      <c r="K217" s="9">
        <v>1</v>
      </c>
      <c r="L217" s="7">
        <v>1</v>
      </c>
      <c r="M217" s="7">
        <f>LEN(TEXT(Table1[[#This Row],[WEATHER]],"0"))</f>
        <v>1</v>
      </c>
      <c r="N217" s="36">
        <v>0.12</v>
      </c>
      <c r="O217" s="37">
        <f>VLOOKUP(Table1[[#This Row],[INSTANT]],[1]dataset_2!$A:$G,2,FALSE)</f>
        <v>0.2273</v>
      </c>
      <c r="P217" s="37">
        <f>VLOOKUP(Table1[[#This Row],[INSTANT]],[1]dataset_2!$A:$G,3,0)</f>
        <v>0.4</v>
      </c>
      <c r="Q217" s="37">
        <f>VLOOKUP(Table1[[#This Row],[INSTANT]],[1]dataset_2!$A:$D,4,FALSE)</f>
        <v>0.1045</v>
      </c>
      <c r="R217" s="37">
        <f>VLOOKUP(Table1[[#This Row],[INSTANT]],[1]dataset_2!$A:$G,5,0)</f>
        <v>4</v>
      </c>
      <c r="S217" s="38">
        <f>VLOOKUP(Table1[[#This Row],[INSTANT]],[1]dataset_2!$A:$G,6,0)</f>
        <v>174</v>
      </c>
      <c r="T217" s="38">
        <f>VLOOKUP(Table1[[#This Row],[INSTANT]],[1]dataset_2!$A:$G,7,0)</f>
        <v>178</v>
      </c>
    </row>
    <row r="218" spans="1:20" ht="13" x14ac:dyDescent="0.15">
      <c r="A218" s="35">
        <v>217</v>
      </c>
      <c r="B218" s="27">
        <v>40553</v>
      </c>
      <c r="C218" s="8" t="str">
        <f t="shared" si="6"/>
        <v>2011</v>
      </c>
      <c r="D218" s="8" t="str">
        <f t="shared" si="7"/>
        <v>10</v>
      </c>
      <c r="E218" s="7">
        <v>1</v>
      </c>
      <c r="F218" s="7">
        <v>0</v>
      </c>
      <c r="G218" s="7">
        <v>1</v>
      </c>
      <c r="H218" s="7">
        <v>7</v>
      </c>
      <c r="I218" s="7" t="b">
        <v>0</v>
      </c>
      <c r="J218" s="22">
        <f>--Table1[[#This Row],[HOLIDAY]]</f>
        <v>0</v>
      </c>
      <c r="K218" s="9">
        <v>1</v>
      </c>
      <c r="L218" s="7">
        <v>1</v>
      </c>
      <c r="M218" s="7">
        <f>LEN(TEXT(Table1[[#This Row],[WEATHER]],"0"))</f>
        <v>1</v>
      </c>
      <c r="N218" s="36">
        <v>0.12</v>
      </c>
      <c r="O218" s="37">
        <f>VLOOKUP(Table1[[#This Row],[INSTANT]],[1]dataset_2!$A:$G,2,FALSE)</f>
        <v>0.19700000000000001</v>
      </c>
      <c r="P218" s="37">
        <f>VLOOKUP(Table1[[#This Row],[INSTANT]],[1]dataset_2!$A:$G,3,0)</f>
        <v>0.4</v>
      </c>
      <c r="Q218" s="37">
        <f>VLOOKUP(Table1[[#This Row],[INSTANT]],[1]dataset_2!$A:$D,4,FALSE)</f>
        <v>0.22389999999999999</v>
      </c>
      <c r="R218" s="37">
        <f>VLOOKUP(Table1[[#This Row],[INSTANT]],[1]dataset_2!$A:$G,5,0)</f>
        <v>1</v>
      </c>
      <c r="S218" s="38">
        <f>VLOOKUP(Table1[[#This Row],[INSTANT]],[1]dataset_2!$A:$G,6,0)</f>
        <v>154</v>
      </c>
      <c r="T218" s="38">
        <f>VLOOKUP(Table1[[#This Row],[INSTANT]],[1]dataset_2!$A:$G,7,0)</f>
        <v>155</v>
      </c>
    </row>
    <row r="219" spans="1:20" ht="13" x14ac:dyDescent="0.15">
      <c r="A219" s="35">
        <v>218</v>
      </c>
      <c r="B219" s="27">
        <v>40553</v>
      </c>
      <c r="C219" s="8" t="str">
        <f t="shared" si="6"/>
        <v>2011</v>
      </c>
      <c r="D219" s="8" t="str">
        <f t="shared" si="7"/>
        <v>10</v>
      </c>
      <c r="E219" s="7">
        <v>1</v>
      </c>
      <c r="F219" s="7">
        <v>0</v>
      </c>
      <c r="G219" s="7">
        <v>1</v>
      </c>
      <c r="H219" s="7">
        <v>8</v>
      </c>
      <c r="I219" s="7" t="b">
        <v>0</v>
      </c>
      <c r="J219" s="22">
        <f>--Table1[[#This Row],[HOLIDAY]]</f>
        <v>0</v>
      </c>
      <c r="K219" s="9">
        <v>1</v>
      </c>
      <c r="L219" s="7">
        <v>2</v>
      </c>
      <c r="M219" s="7">
        <f>LEN(TEXT(Table1[[#This Row],[WEATHER]],"0"))</f>
        <v>1</v>
      </c>
      <c r="N219" s="36">
        <v>0.12</v>
      </c>
      <c r="O219" s="37">
        <f>VLOOKUP(Table1[[#This Row],[INSTANT]],[1]dataset_2!$A:$G,2,FALSE)</f>
        <v>0.16669999999999999</v>
      </c>
      <c r="P219" s="37">
        <f>VLOOKUP(Table1[[#This Row],[INSTANT]],[1]dataset_2!$A:$G,3,0)</f>
        <v>0.47</v>
      </c>
      <c r="Q219" s="37">
        <f>VLOOKUP(Table1[[#This Row],[INSTANT]],[1]dataset_2!$A:$D,4,FALSE)</f>
        <v>0.16420000000000001</v>
      </c>
      <c r="R219" s="37">
        <f>VLOOKUP(Table1[[#This Row],[INSTANT]],[1]dataset_2!$A:$G,5,0)</f>
        <v>3</v>
      </c>
      <c r="S219" s="38">
        <f>VLOOKUP(Table1[[#This Row],[INSTANT]],[1]dataset_2!$A:$G,6,0)</f>
        <v>92</v>
      </c>
      <c r="T219" s="38">
        <f>VLOOKUP(Table1[[#This Row],[INSTANT]],[1]dataset_2!$A:$G,7,0)</f>
        <v>95</v>
      </c>
    </row>
    <row r="220" spans="1:20" ht="13" x14ac:dyDescent="0.15">
      <c r="A220" s="35">
        <v>219</v>
      </c>
      <c r="B220" s="27">
        <v>40553</v>
      </c>
      <c r="C220" s="8" t="str">
        <f t="shared" si="6"/>
        <v>2011</v>
      </c>
      <c r="D220" s="8" t="str">
        <f t="shared" si="7"/>
        <v>10</v>
      </c>
      <c r="E220" s="7">
        <v>1</v>
      </c>
      <c r="F220" s="7">
        <v>0</v>
      </c>
      <c r="G220" s="7">
        <v>1</v>
      </c>
      <c r="H220" s="7">
        <v>9</v>
      </c>
      <c r="I220" s="7" t="b">
        <v>0</v>
      </c>
      <c r="J220" s="22">
        <f>--Table1[[#This Row],[HOLIDAY]]</f>
        <v>0</v>
      </c>
      <c r="K220" s="9">
        <v>1</v>
      </c>
      <c r="L220" s="7">
        <v>2</v>
      </c>
      <c r="M220" s="7">
        <f>LEN(TEXT(Table1[[#This Row],[WEATHER]],"0"))</f>
        <v>1</v>
      </c>
      <c r="N220" s="36">
        <v>0.14000000000000001</v>
      </c>
      <c r="O220" s="37">
        <f>VLOOKUP(Table1[[#This Row],[INSTANT]],[1]dataset_2!$A:$G,2,FALSE)</f>
        <v>0.16669999999999999</v>
      </c>
      <c r="P220" s="37">
        <f>VLOOKUP(Table1[[#This Row],[INSTANT]],[1]dataset_2!$A:$G,3,0)</f>
        <v>0.5</v>
      </c>
      <c r="Q220" s="37">
        <f>VLOOKUP(Table1[[#This Row],[INSTANT]],[1]dataset_2!$A:$D,4,FALSE)</f>
        <v>0.16420000000000001</v>
      </c>
      <c r="R220" s="37">
        <f>VLOOKUP(Table1[[#This Row],[INSTANT]],[1]dataset_2!$A:$G,5,0)</f>
        <v>1</v>
      </c>
      <c r="S220" s="38">
        <f>VLOOKUP(Table1[[#This Row],[INSTANT]],[1]dataset_2!$A:$G,6,0)</f>
        <v>73</v>
      </c>
      <c r="T220" s="38">
        <f>VLOOKUP(Table1[[#This Row],[INSTANT]],[1]dataset_2!$A:$G,7,0)</f>
        <v>74</v>
      </c>
    </row>
    <row r="221" spans="1:20" ht="13" x14ac:dyDescent="0.15">
      <c r="A221" s="35">
        <v>220</v>
      </c>
      <c r="B221" s="27">
        <v>40553</v>
      </c>
      <c r="C221" s="8" t="str">
        <f t="shared" si="6"/>
        <v>2011</v>
      </c>
      <c r="D221" s="8" t="str">
        <f t="shared" si="7"/>
        <v>10</v>
      </c>
      <c r="E221" s="7">
        <v>1</v>
      </c>
      <c r="F221" s="7">
        <v>0</v>
      </c>
      <c r="G221" s="7">
        <v>1</v>
      </c>
      <c r="H221" s="7">
        <v>10</v>
      </c>
      <c r="I221" s="7" t="b">
        <v>0</v>
      </c>
      <c r="J221" s="22">
        <f>--Table1[[#This Row],[HOLIDAY]]</f>
        <v>0</v>
      </c>
      <c r="K221" s="9">
        <v>1</v>
      </c>
      <c r="L221" s="7">
        <v>2</v>
      </c>
      <c r="M221" s="7">
        <f>LEN(TEXT(Table1[[#This Row],[WEATHER]],"0"))</f>
        <v>1</v>
      </c>
      <c r="N221" s="36">
        <v>0.14000000000000001</v>
      </c>
      <c r="O221" s="37">
        <f>VLOOKUP(Table1[[#This Row],[INSTANT]],[1]dataset_2!$A:$G,2,FALSE)</f>
        <v>0.13639999999999999</v>
      </c>
      <c r="P221" s="37">
        <f>VLOOKUP(Table1[[#This Row],[INSTANT]],[1]dataset_2!$A:$G,3,0)</f>
        <v>0.59</v>
      </c>
      <c r="Q221" s="37">
        <f>VLOOKUP(Table1[[#This Row],[INSTANT]],[1]dataset_2!$A:$D,4,FALSE)</f>
        <v>0.19400000000000001</v>
      </c>
      <c r="R221" s="37">
        <f>VLOOKUP(Table1[[#This Row],[INSTANT]],[1]dataset_2!$A:$G,5,0)</f>
        <v>1</v>
      </c>
      <c r="S221" s="38">
        <f>VLOOKUP(Table1[[#This Row],[INSTANT]],[1]dataset_2!$A:$G,6,0)</f>
        <v>37</v>
      </c>
      <c r="T221" s="38">
        <f>VLOOKUP(Table1[[#This Row],[INSTANT]],[1]dataset_2!$A:$G,7,0)</f>
        <v>38</v>
      </c>
    </row>
    <row r="222" spans="1:20" ht="13" x14ac:dyDescent="0.15">
      <c r="A222" s="35">
        <v>221</v>
      </c>
      <c r="B222" s="27">
        <v>40553</v>
      </c>
      <c r="C222" s="8" t="str">
        <f t="shared" si="6"/>
        <v>2011</v>
      </c>
      <c r="D222" s="8" t="str">
        <f t="shared" si="7"/>
        <v>10</v>
      </c>
      <c r="E222" s="7">
        <v>1</v>
      </c>
      <c r="F222" s="7">
        <v>0</v>
      </c>
      <c r="G222" s="7">
        <v>1</v>
      </c>
      <c r="H222" s="7">
        <v>11</v>
      </c>
      <c r="I222" s="7" t="b">
        <v>0</v>
      </c>
      <c r="J222" s="22">
        <f>--Table1[[#This Row],[HOLIDAY]]</f>
        <v>0</v>
      </c>
      <c r="K222" s="9">
        <v>1</v>
      </c>
      <c r="L222" s="7">
        <v>2</v>
      </c>
      <c r="M222" s="7">
        <f>LEN(TEXT(Table1[[#This Row],[WEATHER]],"0"))</f>
        <v>1</v>
      </c>
      <c r="N222" s="36">
        <v>0.16</v>
      </c>
      <c r="O222" s="37">
        <f>VLOOKUP(Table1[[#This Row],[INSTANT]],[1]dataset_2!$A:$G,2,FALSE)</f>
        <v>0.1515</v>
      </c>
      <c r="P222" s="37">
        <f>VLOOKUP(Table1[[#This Row],[INSTANT]],[1]dataset_2!$A:$G,3,0)</f>
        <v>0.59</v>
      </c>
      <c r="Q222" s="37">
        <f>VLOOKUP(Table1[[#This Row],[INSTANT]],[1]dataset_2!$A:$D,4,FALSE)</f>
        <v>0.16420000000000001</v>
      </c>
      <c r="R222" s="37">
        <f>VLOOKUP(Table1[[#This Row],[INSTANT]],[1]dataset_2!$A:$G,5,0)</f>
        <v>2</v>
      </c>
      <c r="S222" s="38">
        <f>VLOOKUP(Table1[[#This Row],[INSTANT]],[1]dataset_2!$A:$G,6,0)</f>
        <v>22</v>
      </c>
      <c r="T222" s="38">
        <f>VLOOKUP(Table1[[#This Row],[INSTANT]],[1]dataset_2!$A:$G,7,0)</f>
        <v>24</v>
      </c>
    </row>
    <row r="223" spans="1:20" ht="13" x14ac:dyDescent="0.15">
      <c r="A223" s="35">
        <v>222</v>
      </c>
      <c r="B223" s="27">
        <v>40553</v>
      </c>
      <c r="C223" s="8" t="str">
        <f t="shared" si="6"/>
        <v>2011</v>
      </c>
      <c r="D223" s="8" t="str">
        <f t="shared" si="7"/>
        <v>10</v>
      </c>
      <c r="E223" s="7">
        <v>1</v>
      </c>
      <c r="F223" s="7">
        <v>0</v>
      </c>
      <c r="G223" s="7">
        <v>1</v>
      </c>
      <c r="H223" s="7">
        <v>12</v>
      </c>
      <c r="I223" s="7" t="b">
        <v>0</v>
      </c>
      <c r="J223" s="22">
        <f>--Table1[[#This Row],[HOLIDAY]]</f>
        <v>0</v>
      </c>
      <c r="K223" s="9">
        <v>1</v>
      </c>
      <c r="L223" s="7">
        <v>2</v>
      </c>
      <c r="M223" s="7">
        <f>LEN(TEXT(Table1[[#This Row],[WEATHER]],"0"))</f>
        <v>1</v>
      </c>
      <c r="N223" s="36">
        <v>0.2</v>
      </c>
      <c r="O223" s="37">
        <f>VLOOKUP(Table1[[#This Row],[INSTANT]],[1]dataset_2!$A:$G,2,FALSE)</f>
        <v>0.1515</v>
      </c>
      <c r="P223" s="37">
        <f>VLOOKUP(Table1[[#This Row],[INSTANT]],[1]dataset_2!$A:$G,3,0)</f>
        <v>0.59</v>
      </c>
      <c r="Q223" s="37">
        <f>VLOOKUP(Table1[[#This Row],[INSTANT]],[1]dataset_2!$A:$D,4,FALSE)</f>
        <v>0.16420000000000001</v>
      </c>
      <c r="R223" s="37">
        <f>VLOOKUP(Table1[[#This Row],[INSTANT]],[1]dataset_2!$A:$G,5,0)</f>
        <v>0</v>
      </c>
      <c r="S223" s="38">
        <f>VLOOKUP(Table1[[#This Row],[INSTANT]],[1]dataset_2!$A:$G,6,0)</f>
        <v>18</v>
      </c>
      <c r="T223" s="38">
        <f>VLOOKUP(Table1[[#This Row],[INSTANT]],[1]dataset_2!$A:$G,7,0)</f>
        <v>18</v>
      </c>
    </row>
    <row r="224" spans="1:20" ht="13" x14ac:dyDescent="0.15">
      <c r="A224" s="35">
        <v>223</v>
      </c>
      <c r="B224" s="27">
        <v>40553</v>
      </c>
      <c r="C224" s="8" t="str">
        <f t="shared" si="6"/>
        <v>2011</v>
      </c>
      <c r="D224" s="8" t="str">
        <f t="shared" si="7"/>
        <v>10</v>
      </c>
      <c r="E224" s="7">
        <v>1</v>
      </c>
      <c r="F224" s="7">
        <v>0</v>
      </c>
      <c r="G224" s="7">
        <v>1</v>
      </c>
      <c r="H224" s="7">
        <v>13</v>
      </c>
      <c r="I224" s="7" t="b">
        <v>0</v>
      </c>
      <c r="J224" s="22">
        <f>--Table1[[#This Row],[HOLIDAY]]</f>
        <v>0</v>
      </c>
      <c r="K224" s="9">
        <v>1</v>
      </c>
      <c r="L224" s="7">
        <v>2</v>
      </c>
      <c r="M224" s="7">
        <f>LEN(TEXT(Table1[[#This Row],[WEATHER]],"0"))</f>
        <v>1</v>
      </c>
      <c r="N224" s="36">
        <v>0.2</v>
      </c>
      <c r="O224" s="37">
        <f>VLOOKUP(Table1[[#This Row],[INSTANT]],[1]dataset_2!$A:$G,2,FALSE)</f>
        <v>0.16669999999999999</v>
      </c>
      <c r="P224" s="37">
        <f>VLOOKUP(Table1[[#This Row],[INSTANT]],[1]dataset_2!$A:$G,3,0)</f>
        <v>0.59</v>
      </c>
      <c r="Q224" s="37">
        <f>VLOOKUP(Table1[[#This Row],[INSTANT]],[1]dataset_2!$A:$D,4,FALSE)</f>
        <v>0.1045</v>
      </c>
      <c r="R224" s="37">
        <f>VLOOKUP(Table1[[#This Row],[INSTANT]],[1]dataset_2!$A:$G,5,0)</f>
        <v>2</v>
      </c>
      <c r="S224" s="38">
        <f>VLOOKUP(Table1[[#This Row],[INSTANT]],[1]dataset_2!$A:$G,6,0)</f>
        <v>10</v>
      </c>
      <c r="T224" s="38">
        <f>VLOOKUP(Table1[[#This Row],[INSTANT]],[1]dataset_2!$A:$G,7,0)</f>
        <v>12</v>
      </c>
    </row>
    <row r="225" spans="1:20" ht="13" x14ac:dyDescent="0.15">
      <c r="A225" s="35">
        <v>224</v>
      </c>
      <c r="B225" s="27">
        <v>40553</v>
      </c>
      <c r="C225" s="8" t="str">
        <f t="shared" si="6"/>
        <v>2011</v>
      </c>
      <c r="D225" s="8" t="str">
        <f t="shared" si="7"/>
        <v>10</v>
      </c>
      <c r="E225" s="7">
        <v>1</v>
      </c>
      <c r="F225" s="7">
        <v>0</v>
      </c>
      <c r="G225" s="7">
        <v>1</v>
      </c>
      <c r="H225" s="7">
        <v>14</v>
      </c>
      <c r="I225" s="7" t="b">
        <v>0</v>
      </c>
      <c r="J225" s="22">
        <f>--Table1[[#This Row],[HOLIDAY]]</f>
        <v>0</v>
      </c>
      <c r="K225" s="9">
        <v>1</v>
      </c>
      <c r="L225" s="7">
        <v>2</v>
      </c>
      <c r="M225" s="7">
        <f>LEN(TEXT(Table1[[#This Row],[WEATHER]],"0"))</f>
        <v>1</v>
      </c>
      <c r="N225" s="36">
        <v>0.2</v>
      </c>
      <c r="O225" s="37">
        <f>VLOOKUP(Table1[[#This Row],[INSTANT]],[1]dataset_2!$A:$G,2,FALSE)</f>
        <v>0.1515</v>
      </c>
      <c r="P225" s="37">
        <f>VLOOKUP(Table1[[#This Row],[INSTANT]],[1]dataset_2!$A:$G,3,0)</f>
        <v>0.59</v>
      </c>
      <c r="Q225" s="37">
        <f>VLOOKUP(Table1[[#This Row],[INSTANT]],[1]dataset_2!$A:$D,4,FALSE)</f>
        <v>0.16420000000000001</v>
      </c>
      <c r="R225" s="37">
        <f>VLOOKUP(Table1[[#This Row],[INSTANT]],[1]dataset_2!$A:$G,5,0)</f>
        <v>0</v>
      </c>
      <c r="S225" s="38">
        <f>VLOOKUP(Table1[[#This Row],[INSTANT]],[1]dataset_2!$A:$G,6,0)</f>
        <v>3</v>
      </c>
      <c r="T225" s="38">
        <f>VLOOKUP(Table1[[#This Row],[INSTANT]],[1]dataset_2!$A:$G,7,0)</f>
        <v>3</v>
      </c>
    </row>
    <row r="226" spans="1:20" ht="13" x14ac:dyDescent="0.15">
      <c r="A226" s="35">
        <v>225</v>
      </c>
      <c r="B226" s="27">
        <v>40553</v>
      </c>
      <c r="C226" s="8" t="str">
        <f t="shared" si="6"/>
        <v>2011</v>
      </c>
      <c r="D226" s="8" t="str">
        <f t="shared" si="7"/>
        <v>10</v>
      </c>
      <c r="E226" s="7">
        <v>1</v>
      </c>
      <c r="F226" s="7">
        <v>0</v>
      </c>
      <c r="G226" s="7">
        <v>1</v>
      </c>
      <c r="H226" s="7">
        <v>15</v>
      </c>
      <c r="I226" s="7" t="b">
        <v>0</v>
      </c>
      <c r="J226" s="22">
        <f>--Table1[[#This Row],[HOLIDAY]]</f>
        <v>0</v>
      </c>
      <c r="K226" s="9">
        <v>1</v>
      </c>
      <c r="L226" s="7">
        <v>2</v>
      </c>
      <c r="M226" s="7">
        <f>LEN(TEXT(Table1[[#This Row],[WEATHER]],"0"))</f>
        <v>1</v>
      </c>
      <c r="N226" s="36">
        <v>0.2</v>
      </c>
      <c r="O226" s="37">
        <f>VLOOKUP(Table1[[#This Row],[INSTANT]],[1]dataset_2!$A:$G,2,FALSE)</f>
        <v>0.1515</v>
      </c>
      <c r="P226" s="37">
        <f>VLOOKUP(Table1[[#This Row],[INSTANT]],[1]dataset_2!$A:$G,3,0)</f>
        <v>0.55000000000000004</v>
      </c>
      <c r="Q226" s="37">
        <f>VLOOKUP(Table1[[#This Row],[INSTANT]],[1]dataset_2!$A:$D,4,FALSE)</f>
        <v>0.19400000000000001</v>
      </c>
      <c r="R226" s="37">
        <f>VLOOKUP(Table1[[#This Row],[INSTANT]],[1]dataset_2!$A:$G,5,0)</f>
        <v>0</v>
      </c>
      <c r="S226" s="38">
        <f>VLOOKUP(Table1[[#This Row],[INSTANT]],[1]dataset_2!$A:$G,6,0)</f>
        <v>3</v>
      </c>
      <c r="T226" s="38">
        <f>VLOOKUP(Table1[[#This Row],[INSTANT]],[1]dataset_2!$A:$G,7,0)</f>
        <v>3</v>
      </c>
    </row>
    <row r="227" spans="1:20" ht="13" x14ac:dyDescent="0.15">
      <c r="A227" s="35">
        <v>226</v>
      </c>
      <c r="B227" s="27">
        <v>40553</v>
      </c>
      <c r="C227" s="8" t="str">
        <f t="shared" si="6"/>
        <v>2011</v>
      </c>
      <c r="D227" s="8" t="str">
        <f t="shared" si="7"/>
        <v>10</v>
      </c>
      <c r="E227" s="7">
        <v>1</v>
      </c>
      <c r="F227" s="7">
        <v>0</v>
      </c>
      <c r="G227" s="7">
        <v>1</v>
      </c>
      <c r="H227" s="7">
        <v>16</v>
      </c>
      <c r="I227" s="7" t="b">
        <v>0</v>
      </c>
      <c r="J227" s="22">
        <f>--Table1[[#This Row],[HOLIDAY]]</f>
        <v>0</v>
      </c>
      <c r="K227" s="9">
        <v>1</v>
      </c>
      <c r="L227" s="7">
        <v>1</v>
      </c>
      <c r="M227" s="7">
        <f>LEN(TEXT(Table1[[#This Row],[WEATHER]],"0"))</f>
        <v>1</v>
      </c>
      <c r="N227" s="36">
        <v>0.2</v>
      </c>
      <c r="O227" s="37">
        <f>VLOOKUP(Table1[[#This Row],[INSTANT]],[1]dataset_2!$A:$G,2,FALSE)</f>
        <v>0.18179999999999999</v>
      </c>
      <c r="P227" s="37">
        <f>VLOOKUP(Table1[[#This Row],[INSTANT]],[1]dataset_2!$A:$G,3,0)</f>
        <v>0.55000000000000004</v>
      </c>
      <c r="Q227" s="37">
        <f>VLOOKUP(Table1[[#This Row],[INSTANT]],[1]dataset_2!$A:$D,4,FALSE)</f>
        <v>0.1343</v>
      </c>
      <c r="R227" s="37">
        <f>VLOOKUP(Table1[[#This Row],[INSTANT]],[1]dataset_2!$A:$G,5,0)</f>
        <v>0</v>
      </c>
      <c r="S227" s="38">
        <f>VLOOKUP(Table1[[#This Row],[INSTANT]],[1]dataset_2!$A:$G,6,0)</f>
        <v>6</v>
      </c>
      <c r="T227" s="38">
        <f>VLOOKUP(Table1[[#This Row],[INSTANT]],[1]dataset_2!$A:$G,7,0)</f>
        <v>6</v>
      </c>
    </row>
    <row r="228" spans="1:20" ht="13" x14ac:dyDescent="0.15">
      <c r="A228" s="35">
        <v>227</v>
      </c>
      <c r="B228" s="27">
        <v>40553</v>
      </c>
      <c r="C228" s="8" t="str">
        <f t="shared" si="6"/>
        <v>2011</v>
      </c>
      <c r="D228" s="8" t="str">
        <f t="shared" si="7"/>
        <v>10</v>
      </c>
      <c r="E228" s="7">
        <v>1</v>
      </c>
      <c r="F228" s="7">
        <v>0</v>
      </c>
      <c r="G228" s="7">
        <v>1</v>
      </c>
      <c r="H228" s="7">
        <v>17</v>
      </c>
      <c r="I228" s="7" t="b">
        <v>0</v>
      </c>
      <c r="J228" s="22">
        <f>--Table1[[#This Row],[HOLIDAY]]</f>
        <v>0</v>
      </c>
      <c r="K228" s="9">
        <v>1</v>
      </c>
      <c r="L228" s="7">
        <v>1</v>
      </c>
      <c r="M228" s="7">
        <f>LEN(TEXT(Table1[[#This Row],[WEATHER]],"0"))</f>
        <v>1</v>
      </c>
      <c r="N228" s="36">
        <v>0.2</v>
      </c>
      <c r="O228" s="37">
        <f>VLOOKUP(Table1[[#This Row],[INSTANT]],[1]dataset_2!$A:$G,2,FALSE)</f>
        <v>0.18179999999999999</v>
      </c>
      <c r="P228" s="37">
        <f>VLOOKUP(Table1[[#This Row],[INSTANT]],[1]dataset_2!$A:$G,3,0)</f>
        <v>0.55000000000000004</v>
      </c>
      <c r="Q228" s="37">
        <f>VLOOKUP(Table1[[#This Row],[INSTANT]],[1]dataset_2!$A:$D,4,FALSE)</f>
        <v>0.1343</v>
      </c>
      <c r="R228" s="37">
        <f>VLOOKUP(Table1[[#This Row],[INSTANT]],[1]dataset_2!$A:$G,5,0)</f>
        <v>0</v>
      </c>
      <c r="S228" s="38">
        <f>VLOOKUP(Table1[[#This Row],[INSTANT]],[1]dataset_2!$A:$G,6,0)</f>
        <v>27</v>
      </c>
      <c r="T228" s="38">
        <f>VLOOKUP(Table1[[#This Row],[INSTANT]],[1]dataset_2!$A:$G,7,0)</f>
        <v>27</v>
      </c>
    </row>
    <row r="229" spans="1:20" ht="13" x14ac:dyDescent="0.15">
      <c r="A229" s="35">
        <v>228</v>
      </c>
      <c r="B229" s="27">
        <v>40553</v>
      </c>
      <c r="C229" s="8" t="str">
        <f t="shared" si="6"/>
        <v>2011</v>
      </c>
      <c r="D229" s="8" t="str">
        <f t="shared" si="7"/>
        <v>10</v>
      </c>
      <c r="E229" s="7">
        <v>1</v>
      </c>
      <c r="F229" s="7">
        <v>0</v>
      </c>
      <c r="G229" s="7">
        <v>1</v>
      </c>
      <c r="H229" s="7">
        <v>18</v>
      </c>
      <c r="I229" s="7" t="b">
        <v>0</v>
      </c>
      <c r="J229" s="22">
        <f>--Table1[[#This Row],[HOLIDAY]]</f>
        <v>0</v>
      </c>
      <c r="K229" s="9">
        <v>1</v>
      </c>
      <c r="L229" s="7">
        <v>1</v>
      </c>
      <c r="M229" s="7">
        <f>LEN(TEXT(Table1[[#This Row],[WEATHER]],"0"))</f>
        <v>1</v>
      </c>
      <c r="N229" s="36">
        <v>0.2</v>
      </c>
      <c r="O229" s="37">
        <f>VLOOKUP(Table1[[#This Row],[INSTANT]],[1]dataset_2!$A:$G,2,FALSE)</f>
        <v>0.2273</v>
      </c>
      <c r="P229" s="37">
        <f>VLOOKUP(Table1[[#This Row],[INSTANT]],[1]dataset_2!$A:$G,3,0)</f>
        <v>0.55000000000000004</v>
      </c>
      <c r="Q229" s="37">
        <f>VLOOKUP(Table1[[#This Row],[INSTANT]],[1]dataset_2!$A:$D,4,FALSE)</f>
        <v>0</v>
      </c>
      <c r="R229" s="37">
        <f>VLOOKUP(Table1[[#This Row],[INSTANT]],[1]dataset_2!$A:$G,5,0)</f>
        <v>2</v>
      </c>
      <c r="S229" s="38">
        <f>VLOOKUP(Table1[[#This Row],[INSTANT]],[1]dataset_2!$A:$G,6,0)</f>
        <v>97</v>
      </c>
      <c r="T229" s="38">
        <f>VLOOKUP(Table1[[#This Row],[INSTANT]],[1]dataset_2!$A:$G,7,0)</f>
        <v>99</v>
      </c>
    </row>
    <row r="230" spans="1:20" ht="13" x14ac:dyDescent="0.15">
      <c r="A230" s="35">
        <v>229</v>
      </c>
      <c r="B230" s="27">
        <v>40553</v>
      </c>
      <c r="C230" s="8" t="str">
        <f t="shared" si="6"/>
        <v>2011</v>
      </c>
      <c r="D230" s="8" t="str">
        <f t="shared" si="7"/>
        <v>10</v>
      </c>
      <c r="E230" s="7">
        <v>1</v>
      </c>
      <c r="F230" s="7">
        <v>0</v>
      </c>
      <c r="G230" s="7">
        <v>1</v>
      </c>
      <c r="H230" s="7">
        <v>19</v>
      </c>
      <c r="I230" s="7" t="b">
        <v>0</v>
      </c>
      <c r="J230" s="22">
        <f>--Table1[[#This Row],[HOLIDAY]]</f>
        <v>0</v>
      </c>
      <c r="K230" s="9">
        <v>1</v>
      </c>
      <c r="L230" s="7">
        <v>1</v>
      </c>
      <c r="M230" s="7">
        <f>LEN(TEXT(Table1[[#This Row],[WEATHER]],"0"))</f>
        <v>1</v>
      </c>
      <c r="N230" s="36">
        <v>0.16</v>
      </c>
      <c r="O230" s="37">
        <f>VLOOKUP(Table1[[#This Row],[INSTANT]],[1]dataset_2!$A:$G,2,FALSE)</f>
        <v>0.21210000000000001</v>
      </c>
      <c r="P230" s="37">
        <f>VLOOKUP(Table1[[#This Row],[INSTANT]],[1]dataset_2!$A:$G,3,0)</f>
        <v>0.51</v>
      </c>
      <c r="Q230" s="37">
        <f>VLOOKUP(Table1[[#This Row],[INSTANT]],[1]dataset_2!$A:$D,4,FALSE)</f>
        <v>8.9599999999999999E-2</v>
      </c>
      <c r="R230" s="37">
        <f>VLOOKUP(Table1[[#This Row],[INSTANT]],[1]dataset_2!$A:$G,5,0)</f>
        <v>3</v>
      </c>
      <c r="S230" s="38">
        <f>VLOOKUP(Table1[[#This Row],[INSTANT]],[1]dataset_2!$A:$G,6,0)</f>
        <v>214</v>
      </c>
      <c r="T230" s="38">
        <f>VLOOKUP(Table1[[#This Row],[INSTANT]],[1]dataset_2!$A:$G,7,0)</f>
        <v>217</v>
      </c>
    </row>
    <row r="231" spans="1:20" ht="13" x14ac:dyDescent="0.15">
      <c r="A231" s="35">
        <v>230</v>
      </c>
      <c r="B231" s="27">
        <v>40553</v>
      </c>
      <c r="C231" s="8" t="str">
        <f t="shared" si="6"/>
        <v>2011</v>
      </c>
      <c r="D231" s="8" t="str">
        <f t="shared" si="7"/>
        <v>10</v>
      </c>
      <c r="E231" s="7">
        <v>1</v>
      </c>
      <c r="F231" s="7">
        <v>0</v>
      </c>
      <c r="G231" s="7">
        <v>1</v>
      </c>
      <c r="H231" s="7">
        <v>20</v>
      </c>
      <c r="I231" s="7" t="b">
        <v>0</v>
      </c>
      <c r="J231" s="22">
        <f>--Table1[[#This Row],[HOLIDAY]]</f>
        <v>0</v>
      </c>
      <c r="K231" s="9">
        <v>1</v>
      </c>
      <c r="L231" s="7">
        <v>1</v>
      </c>
      <c r="M231" s="7">
        <f>LEN(TEXT(Table1[[#This Row],[WEATHER]],"0"))</f>
        <v>1</v>
      </c>
      <c r="N231" s="36">
        <v>0.16</v>
      </c>
      <c r="O231" s="37">
        <f>VLOOKUP(Table1[[#This Row],[INSTANT]],[1]dataset_2!$A:$G,2,FALSE)</f>
        <v>0.19700000000000001</v>
      </c>
      <c r="P231" s="37">
        <f>VLOOKUP(Table1[[#This Row],[INSTANT]],[1]dataset_2!$A:$G,3,0)</f>
        <v>0.51</v>
      </c>
      <c r="Q231" s="37">
        <f>VLOOKUP(Table1[[#This Row],[INSTANT]],[1]dataset_2!$A:$D,4,FALSE)</f>
        <v>0.16420000000000001</v>
      </c>
      <c r="R231" s="37">
        <f>VLOOKUP(Table1[[#This Row],[INSTANT]],[1]dataset_2!$A:$G,5,0)</f>
        <v>3</v>
      </c>
      <c r="S231" s="38">
        <f>VLOOKUP(Table1[[#This Row],[INSTANT]],[1]dataset_2!$A:$G,6,0)</f>
        <v>127</v>
      </c>
      <c r="T231" s="38">
        <f>VLOOKUP(Table1[[#This Row],[INSTANT]],[1]dataset_2!$A:$G,7,0)</f>
        <v>130</v>
      </c>
    </row>
    <row r="232" spans="1:20" ht="13" x14ac:dyDescent="0.15">
      <c r="A232" s="35">
        <v>231</v>
      </c>
      <c r="B232" s="27">
        <v>40553</v>
      </c>
      <c r="C232" s="8" t="str">
        <f t="shared" si="6"/>
        <v>2011</v>
      </c>
      <c r="D232" s="8" t="str">
        <f t="shared" si="7"/>
        <v>10</v>
      </c>
      <c r="E232" s="7">
        <v>1</v>
      </c>
      <c r="F232" s="7">
        <v>0</v>
      </c>
      <c r="G232" s="7">
        <v>1</v>
      </c>
      <c r="H232" s="7">
        <v>21</v>
      </c>
      <c r="I232" s="7" t="b">
        <v>0</v>
      </c>
      <c r="J232" s="22">
        <f>--Table1[[#This Row],[HOLIDAY]]</f>
        <v>0</v>
      </c>
      <c r="K232" s="9">
        <v>1</v>
      </c>
      <c r="L232" s="7">
        <v>1</v>
      </c>
      <c r="M232" s="7">
        <f>LEN(TEXT(Table1[[#This Row],[WEATHER]],"0"))</f>
        <v>1</v>
      </c>
      <c r="N232" s="36">
        <v>0.14000000000000001</v>
      </c>
      <c r="O232" s="37">
        <f>VLOOKUP(Table1[[#This Row],[INSTANT]],[1]dataset_2!$A:$G,2,FALSE)</f>
        <v>0.21210000000000001</v>
      </c>
      <c r="P232" s="37">
        <f>VLOOKUP(Table1[[#This Row],[INSTANT]],[1]dataset_2!$A:$G,3,0)</f>
        <v>0.51</v>
      </c>
      <c r="Q232" s="37">
        <f>VLOOKUP(Table1[[#This Row],[INSTANT]],[1]dataset_2!$A:$D,4,FALSE)</f>
        <v>0.16420000000000001</v>
      </c>
      <c r="R232" s="37">
        <f>VLOOKUP(Table1[[#This Row],[INSTANT]],[1]dataset_2!$A:$G,5,0)</f>
        <v>3</v>
      </c>
      <c r="S232" s="38">
        <f>VLOOKUP(Table1[[#This Row],[INSTANT]],[1]dataset_2!$A:$G,6,0)</f>
        <v>51</v>
      </c>
      <c r="T232" s="38">
        <f>VLOOKUP(Table1[[#This Row],[INSTANT]],[1]dataset_2!$A:$G,7,0)</f>
        <v>54</v>
      </c>
    </row>
    <row r="233" spans="1:20" ht="13" x14ac:dyDescent="0.15">
      <c r="A233" s="35">
        <v>232</v>
      </c>
      <c r="B233" s="27">
        <v>40553</v>
      </c>
      <c r="C233" s="8" t="str">
        <f t="shared" si="6"/>
        <v>2011</v>
      </c>
      <c r="D233" s="8" t="str">
        <f t="shared" si="7"/>
        <v>10</v>
      </c>
      <c r="E233" s="7">
        <v>1</v>
      </c>
      <c r="F233" s="7">
        <v>0</v>
      </c>
      <c r="G233" s="7">
        <v>1</v>
      </c>
      <c r="H233" s="7">
        <v>22</v>
      </c>
      <c r="I233" s="7" t="b">
        <v>0</v>
      </c>
      <c r="J233" s="22">
        <f>--Table1[[#This Row],[HOLIDAY]]</f>
        <v>0</v>
      </c>
      <c r="K233" s="9">
        <v>1</v>
      </c>
      <c r="L233" s="7">
        <v>1</v>
      </c>
      <c r="M233" s="7">
        <f>LEN(TEXT(Table1[[#This Row],[WEATHER]],"0"))</f>
        <v>1</v>
      </c>
      <c r="N233" s="36">
        <v>0.14000000000000001</v>
      </c>
      <c r="O233" s="37">
        <f>VLOOKUP(Table1[[#This Row],[INSTANT]],[1]dataset_2!$A:$G,2,FALSE)</f>
        <v>0.21210000000000001</v>
      </c>
      <c r="P233" s="37">
        <f>VLOOKUP(Table1[[#This Row],[INSTANT]],[1]dataset_2!$A:$G,3,0)</f>
        <v>0.47</v>
      </c>
      <c r="Q233" s="37">
        <f>VLOOKUP(Table1[[#This Row],[INSTANT]],[1]dataset_2!$A:$D,4,FALSE)</f>
        <v>0.1343</v>
      </c>
      <c r="R233" s="37">
        <f>VLOOKUP(Table1[[#This Row],[INSTANT]],[1]dataset_2!$A:$G,5,0)</f>
        <v>4</v>
      </c>
      <c r="S233" s="38">
        <f>VLOOKUP(Table1[[#This Row],[INSTANT]],[1]dataset_2!$A:$G,6,0)</f>
        <v>31</v>
      </c>
      <c r="T233" s="38">
        <f>VLOOKUP(Table1[[#This Row],[INSTANT]],[1]dataset_2!$A:$G,7,0)</f>
        <v>35</v>
      </c>
    </row>
    <row r="234" spans="1:20" ht="13" x14ac:dyDescent="0.15">
      <c r="A234" s="35">
        <v>233</v>
      </c>
      <c r="B234" s="27">
        <v>40553</v>
      </c>
      <c r="C234" s="8" t="str">
        <f t="shared" si="6"/>
        <v>2011</v>
      </c>
      <c r="D234" s="8" t="str">
        <f t="shared" si="7"/>
        <v>10</v>
      </c>
      <c r="E234" s="7">
        <v>1</v>
      </c>
      <c r="F234" s="7">
        <v>0</v>
      </c>
      <c r="G234" s="7">
        <v>1</v>
      </c>
      <c r="H234" s="7">
        <v>23</v>
      </c>
      <c r="I234" s="7" t="b">
        <v>0</v>
      </c>
      <c r="J234" s="22">
        <f>--Table1[[#This Row],[HOLIDAY]]</f>
        <v>0</v>
      </c>
      <c r="K234" s="9">
        <v>1</v>
      </c>
      <c r="L234" s="7">
        <v>1</v>
      </c>
      <c r="M234" s="7">
        <f>LEN(TEXT(Table1[[#This Row],[WEATHER]],"0"))</f>
        <v>1</v>
      </c>
      <c r="N234" s="36">
        <v>0.14000000000000001</v>
      </c>
      <c r="O234" s="37">
        <f>VLOOKUP(Table1[[#This Row],[INSTANT]],[1]dataset_2!$A:$G,2,FALSE)</f>
        <v>0.2273</v>
      </c>
      <c r="P234" s="37">
        <f>VLOOKUP(Table1[[#This Row],[INSTANT]],[1]dataset_2!$A:$G,3,0)</f>
        <v>0.51</v>
      </c>
      <c r="Q234" s="37">
        <f>VLOOKUP(Table1[[#This Row],[INSTANT]],[1]dataset_2!$A:$D,4,FALSE)</f>
        <v>0.1045</v>
      </c>
      <c r="R234" s="37">
        <f>VLOOKUP(Table1[[#This Row],[INSTANT]],[1]dataset_2!$A:$G,5,0)</f>
        <v>2</v>
      </c>
      <c r="S234" s="38">
        <f>VLOOKUP(Table1[[#This Row],[INSTANT]],[1]dataset_2!$A:$G,6,0)</f>
        <v>55</v>
      </c>
      <c r="T234" s="38">
        <f>VLOOKUP(Table1[[#This Row],[INSTANT]],[1]dataset_2!$A:$G,7,0)</f>
        <v>57</v>
      </c>
    </row>
    <row r="235" spans="1:20" ht="13" x14ac:dyDescent="0.15">
      <c r="A235" s="35">
        <v>234</v>
      </c>
      <c r="B235" s="27">
        <v>40554</v>
      </c>
      <c r="C235" s="8" t="str">
        <f t="shared" si="6"/>
        <v>2011</v>
      </c>
      <c r="D235" s="8" t="str">
        <f t="shared" si="7"/>
        <v>11</v>
      </c>
      <c r="E235" s="7">
        <v>1</v>
      </c>
      <c r="F235" s="7">
        <v>0</v>
      </c>
      <c r="G235" s="7">
        <v>1</v>
      </c>
      <c r="H235" s="7">
        <v>0</v>
      </c>
      <c r="I235" s="7" t="b">
        <v>0</v>
      </c>
      <c r="J235" s="22">
        <f>--Table1[[#This Row],[HOLIDAY]]</f>
        <v>0</v>
      </c>
      <c r="K235" s="9">
        <v>2</v>
      </c>
      <c r="L235" s="7">
        <v>1</v>
      </c>
      <c r="M235" s="7">
        <f>LEN(TEXT(Table1[[#This Row],[WEATHER]],"0"))</f>
        <v>1</v>
      </c>
      <c r="N235" s="36">
        <v>0.14000000000000001</v>
      </c>
      <c r="O235" s="37">
        <f>VLOOKUP(Table1[[#This Row],[INSTANT]],[1]dataset_2!$A:$G,2,FALSE)</f>
        <v>0.2273</v>
      </c>
      <c r="P235" s="37">
        <f>VLOOKUP(Table1[[#This Row],[INSTANT]],[1]dataset_2!$A:$G,3,0)</f>
        <v>0.59</v>
      </c>
      <c r="Q235" s="37">
        <f>VLOOKUP(Table1[[#This Row],[INSTANT]],[1]dataset_2!$A:$D,4,FALSE)</f>
        <v>8.9599999999999999E-2</v>
      </c>
      <c r="R235" s="37">
        <f>VLOOKUP(Table1[[#This Row],[INSTANT]],[1]dataset_2!$A:$G,5,0)</f>
        <v>6</v>
      </c>
      <c r="S235" s="38">
        <f>VLOOKUP(Table1[[#This Row],[INSTANT]],[1]dataset_2!$A:$G,6,0)</f>
        <v>46</v>
      </c>
      <c r="T235" s="38">
        <f>VLOOKUP(Table1[[#This Row],[INSTANT]],[1]dataset_2!$A:$G,7,0)</f>
        <v>52</v>
      </c>
    </row>
    <row r="236" spans="1:20" ht="13" x14ac:dyDescent="0.15">
      <c r="A236" s="35">
        <v>235</v>
      </c>
      <c r="B236" s="27">
        <v>40554</v>
      </c>
      <c r="C236" s="8" t="str">
        <f t="shared" si="6"/>
        <v>2011</v>
      </c>
      <c r="D236" s="8" t="str">
        <f t="shared" si="7"/>
        <v>11</v>
      </c>
      <c r="E236" s="7">
        <v>1</v>
      </c>
      <c r="F236" s="7">
        <v>0</v>
      </c>
      <c r="G236" s="7">
        <v>1</v>
      </c>
      <c r="H236" s="7">
        <v>1</v>
      </c>
      <c r="I236" s="7" t="b">
        <v>0</v>
      </c>
      <c r="J236" s="22">
        <f>--Table1[[#This Row],[HOLIDAY]]</f>
        <v>0</v>
      </c>
      <c r="K236" s="9">
        <v>2</v>
      </c>
      <c r="L236" s="7">
        <v>1</v>
      </c>
      <c r="M236" s="7">
        <f>LEN(TEXT(Table1[[#This Row],[WEATHER]],"0"))</f>
        <v>1</v>
      </c>
      <c r="N236" s="36">
        <v>0.14000000000000001</v>
      </c>
      <c r="O236" s="37">
        <f>VLOOKUP(Table1[[#This Row],[INSTANT]],[1]dataset_2!$A:$G,2,FALSE)</f>
        <v>0.2273</v>
      </c>
      <c r="P236" s="37">
        <f>VLOOKUP(Table1[[#This Row],[INSTANT]],[1]dataset_2!$A:$G,3,0)</f>
        <v>0.59</v>
      </c>
      <c r="Q236" s="37">
        <f>VLOOKUP(Table1[[#This Row],[INSTANT]],[1]dataset_2!$A:$D,4,FALSE)</f>
        <v>8.9599999999999999E-2</v>
      </c>
      <c r="R236" s="37">
        <f>VLOOKUP(Table1[[#This Row],[INSTANT]],[1]dataset_2!$A:$G,5,0)</f>
        <v>3</v>
      </c>
      <c r="S236" s="38">
        <f>VLOOKUP(Table1[[#This Row],[INSTANT]],[1]dataset_2!$A:$G,6,0)</f>
        <v>60</v>
      </c>
      <c r="T236" s="38">
        <f>VLOOKUP(Table1[[#This Row],[INSTANT]],[1]dataset_2!$A:$G,7,0)</f>
        <v>63</v>
      </c>
    </row>
    <row r="237" spans="1:20" ht="13" x14ac:dyDescent="0.15">
      <c r="A237" s="35">
        <v>236</v>
      </c>
      <c r="B237" s="27">
        <v>40554</v>
      </c>
      <c r="C237" s="8" t="str">
        <f t="shared" si="6"/>
        <v>2011</v>
      </c>
      <c r="D237" s="8" t="str">
        <f t="shared" si="7"/>
        <v>11</v>
      </c>
      <c r="E237" s="7">
        <v>1</v>
      </c>
      <c r="F237" s="7">
        <v>0</v>
      </c>
      <c r="G237" s="7">
        <v>1</v>
      </c>
      <c r="H237" s="7">
        <v>2</v>
      </c>
      <c r="I237" s="7" t="b">
        <v>0</v>
      </c>
      <c r="J237" s="22">
        <f>--Table1[[#This Row],[HOLIDAY]]</f>
        <v>0</v>
      </c>
      <c r="K237" s="9">
        <v>2</v>
      </c>
      <c r="L237" s="7">
        <v>2</v>
      </c>
      <c r="M237" s="7">
        <f>LEN(TEXT(Table1[[#This Row],[WEATHER]],"0"))</f>
        <v>1</v>
      </c>
      <c r="N237" s="36">
        <v>0.16</v>
      </c>
      <c r="O237" s="37">
        <f>VLOOKUP(Table1[[#This Row],[INSTANT]],[1]dataset_2!$A:$G,2,FALSE)</f>
        <v>0.19700000000000001</v>
      </c>
      <c r="P237" s="37">
        <f>VLOOKUP(Table1[[#This Row],[INSTANT]],[1]dataset_2!$A:$G,3,0)</f>
        <v>0.8</v>
      </c>
      <c r="Q237" s="37">
        <f>VLOOKUP(Table1[[#This Row],[INSTANT]],[1]dataset_2!$A:$D,4,FALSE)</f>
        <v>8.9599999999999999E-2</v>
      </c>
      <c r="R237" s="37">
        <f>VLOOKUP(Table1[[#This Row],[INSTANT]],[1]dataset_2!$A:$G,5,0)</f>
        <v>2</v>
      </c>
      <c r="S237" s="38">
        <f>VLOOKUP(Table1[[#This Row],[INSTANT]],[1]dataset_2!$A:$G,6,0)</f>
        <v>45</v>
      </c>
      <c r="T237" s="38">
        <f>VLOOKUP(Table1[[#This Row],[INSTANT]],[1]dataset_2!$A:$G,7,0)</f>
        <v>47</v>
      </c>
    </row>
    <row r="238" spans="1:20" ht="13" x14ac:dyDescent="0.15">
      <c r="A238" s="35">
        <v>237</v>
      </c>
      <c r="B238" s="27">
        <v>40554</v>
      </c>
      <c r="C238" s="8" t="str">
        <f t="shared" si="6"/>
        <v>2011</v>
      </c>
      <c r="D238" s="8" t="str">
        <f t="shared" si="7"/>
        <v>11</v>
      </c>
      <c r="E238" s="7">
        <v>1</v>
      </c>
      <c r="F238" s="7">
        <v>0</v>
      </c>
      <c r="G238" s="7">
        <v>1</v>
      </c>
      <c r="H238" s="7">
        <v>5</v>
      </c>
      <c r="I238" s="7" t="b">
        <v>0</v>
      </c>
      <c r="J238" s="22">
        <f>--Table1[[#This Row],[HOLIDAY]]</f>
        <v>0</v>
      </c>
      <c r="K238" s="9">
        <v>2</v>
      </c>
      <c r="L238" s="7">
        <v>2</v>
      </c>
      <c r="M238" s="7">
        <f>LEN(TEXT(Table1[[#This Row],[WEATHER]],"0"))</f>
        <v>1</v>
      </c>
      <c r="N238" s="36">
        <v>0.16</v>
      </c>
      <c r="O238" s="37">
        <f>VLOOKUP(Table1[[#This Row],[INSTANT]],[1]dataset_2!$A:$G,2,FALSE)</f>
        <v>0.1515</v>
      </c>
      <c r="P238" s="37">
        <f>VLOOKUP(Table1[[#This Row],[INSTANT]],[1]dataset_2!$A:$G,3,0)</f>
        <v>0.86</v>
      </c>
      <c r="Q238" s="37">
        <f>VLOOKUP(Table1[[#This Row],[INSTANT]],[1]dataset_2!$A:$D,4,FALSE)</f>
        <v>0.22389999999999999</v>
      </c>
      <c r="R238" s="37">
        <f>VLOOKUP(Table1[[#This Row],[INSTANT]],[1]dataset_2!$A:$G,5,0)</f>
        <v>4</v>
      </c>
      <c r="S238" s="38">
        <f>VLOOKUP(Table1[[#This Row],[INSTANT]],[1]dataset_2!$A:$G,6,0)</f>
        <v>72</v>
      </c>
      <c r="T238" s="38">
        <f>VLOOKUP(Table1[[#This Row],[INSTANT]],[1]dataset_2!$A:$G,7,0)</f>
        <v>76</v>
      </c>
    </row>
    <row r="239" spans="1:20" ht="13" x14ac:dyDescent="0.15">
      <c r="A239" s="35">
        <v>238</v>
      </c>
      <c r="B239" s="27">
        <v>40554</v>
      </c>
      <c r="C239" s="8" t="str">
        <f t="shared" si="6"/>
        <v>2011</v>
      </c>
      <c r="D239" s="8" t="str">
        <f t="shared" si="7"/>
        <v>11</v>
      </c>
      <c r="E239" s="7">
        <v>1</v>
      </c>
      <c r="F239" s="7">
        <v>0</v>
      </c>
      <c r="G239" s="7">
        <v>1</v>
      </c>
      <c r="H239" s="7">
        <v>6</v>
      </c>
      <c r="I239" s="7" t="b">
        <v>0</v>
      </c>
      <c r="J239" s="22">
        <f>--Table1[[#This Row],[HOLIDAY]]</f>
        <v>0</v>
      </c>
      <c r="K239" s="9">
        <v>2</v>
      </c>
      <c r="L239" s="7">
        <v>2</v>
      </c>
      <c r="M239" s="7">
        <f>LEN(TEXT(Table1[[#This Row],[WEATHER]],"0"))</f>
        <v>1</v>
      </c>
      <c r="N239" s="36">
        <v>0.16</v>
      </c>
      <c r="O239" s="37">
        <f>VLOOKUP(Table1[[#This Row],[INSTANT]],[1]dataset_2!$A:$G,2,FALSE)</f>
        <v>0.1515</v>
      </c>
      <c r="P239" s="37">
        <f>VLOOKUP(Table1[[#This Row],[INSTANT]],[1]dataset_2!$A:$G,3,0)</f>
        <v>0.86</v>
      </c>
      <c r="Q239" s="37">
        <f>VLOOKUP(Table1[[#This Row],[INSTANT]],[1]dataset_2!$A:$D,4,FALSE)</f>
        <v>0.22389999999999999</v>
      </c>
      <c r="R239" s="37">
        <f>VLOOKUP(Table1[[#This Row],[INSTANT]],[1]dataset_2!$A:$G,5,0)</f>
        <v>6</v>
      </c>
      <c r="S239" s="38">
        <f>VLOOKUP(Table1[[#This Row],[INSTANT]],[1]dataset_2!$A:$G,6,0)</f>
        <v>130</v>
      </c>
      <c r="T239" s="38">
        <f>VLOOKUP(Table1[[#This Row],[INSTANT]],[1]dataset_2!$A:$G,7,0)</f>
        <v>136</v>
      </c>
    </row>
    <row r="240" spans="1:20" ht="13" x14ac:dyDescent="0.15">
      <c r="A240" s="35">
        <v>239</v>
      </c>
      <c r="B240" s="27">
        <v>40554</v>
      </c>
      <c r="C240" s="8" t="str">
        <f t="shared" si="6"/>
        <v>2011</v>
      </c>
      <c r="D240" s="8" t="str">
        <f t="shared" si="7"/>
        <v>11</v>
      </c>
      <c r="E240" s="7">
        <v>1</v>
      </c>
      <c r="F240" s="7">
        <v>0</v>
      </c>
      <c r="G240" s="7">
        <v>1</v>
      </c>
      <c r="H240" s="7">
        <v>7</v>
      </c>
      <c r="I240" s="7" t="b">
        <v>0</v>
      </c>
      <c r="J240" s="22">
        <f>--Table1[[#This Row],[HOLIDAY]]</f>
        <v>0</v>
      </c>
      <c r="K240" s="9">
        <v>2</v>
      </c>
      <c r="L240" s="7">
        <v>2</v>
      </c>
      <c r="M240" s="7">
        <f>LEN(TEXT(Table1[[#This Row],[WEATHER]],"0"))</f>
        <v>1</v>
      </c>
      <c r="N240" s="36">
        <v>0.16</v>
      </c>
      <c r="O240" s="37">
        <f>VLOOKUP(Table1[[#This Row],[INSTANT]],[1]dataset_2!$A:$G,2,FALSE)</f>
        <v>0.18179999999999999</v>
      </c>
      <c r="P240" s="37">
        <f>VLOOKUP(Table1[[#This Row],[INSTANT]],[1]dataset_2!$A:$G,3,0)</f>
        <v>0.93</v>
      </c>
      <c r="Q240" s="37">
        <f>VLOOKUP(Table1[[#This Row],[INSTANT]],[1]dataset_2!$A:$D,4,FALSE)</f>
        <v>0.1045</v>
      </c>
      <c r="R240" s="37">
        <f>VLOOKUP(Table1[[#This Row],[INSTANT]],[1]dataset_2!$A:$G,5,0)</f>
        <v>1</v>
      </c>
      <c r="S240" s="38">
        <f>VLOOKUP(Table1[[#This Row],[INSTANT]],[1]dataset_2!$A:$G,6,0)</f>
        <v>94</v>
      </c>
      <c r="T240" s="38">
        <f>VLOOKUP(Table1[[#This Row],[INSTANT]],[1]dataset_2!$A:$G,7,0)</f>
        <v>95</v>
      </c>
    </row>
    <row r="241" spans="1:20" ht="13" x14ac:dyDescent="0.15">
      <c r="A241" s="35">
        <v>240</v>
      </c>
      <c r="B241" s="27">
        <v>40554</v>
      </c>
      <c r="C241" s="8" t="str">
        <f t="shared" si="6"/>
        <v>2011</v>
      </c>
      <c r="D241" s="8" t="str">
        <f t="shared" si="7"/>
        <v>11</v>
      </c>
      <c r="E241" s="7">
        <v>1</v>
      </c>
      <c r="F241" s="7">
        <v>0</v>
      </c>
      <c r="G241" s="7">
        <v>1</v>
      </c>
      <c r="H241" s="7">
        <v>8</v>
      </c>
      <c r="I241" s="7" t="b">
        <v>0</v>
      </c>
      <c r="J241" s="22">
        <f>--Table1[[#This Row],[HOLIDAY]]</f>
        <v>0</v>
      </c>
      <c r="K241" s="9">
        <v>2</v>
      </c>
      <c r="L241" s="7">
        <v>2</v>
      </c>
      <c r="M241" s="7">
        <f>LEN(TEXT(Table1[[#This Row],[WEATHER]],"0"))</f>
        <v>1</v>
      </c>
      <c r="N241" s="36">
        <v>0.18</v>
      </c>
      <c r="O241" s="37">
        <f>VLOOKUP(Table1[[#This Row],[INSTANT]],[1]dataset_2!$A:$G,2,FALSE)</f>
        <v>0.2273</v>
      </c>
      <c r="P241" s="37">
        <f>VLOOKUP(Table1[[#This Row],[INSTANT]],[1]dataset_2!$A:$G,3,0)</f>
        <v>0.93</v>
      </c>
      <c r="Q241" s="37">
        <f>VLOOKUP(Table1[[#This Row],[INSTANT]],[1]dataset_2!$A:$D,4,FALSE)</f>
        <v>0</v>
      </c>
      <c r="R241" s="37">
        <f>VLOOKUP(Table1[[#This Row],[INSTANT]],[1]dataset_2!$A:$G,5,0)</f>
        <v>0</v>
      </c>
      <c r="S241" s="38">
        <f>VLOOKUP(Table1[[#This Row],[INSTANT]],[1]dataset_2!$A:$G,6,0)</f>
        <v>51</v>
      </c>
      <c r="T241" s="38">
        <f>VLOOKUP(Table1[[#This Row],[INSTANT]],[1]dataset_2!$A:$G,7,0)</f>
        <v>51</v>
      </c>
    </row>
    <row r="242" spans="1:20" ht="13" x14ac:dyDescent="0.15">
      <c r="A242" s="35">
        <v>241</v>
      </c>
      <c r="B242" s="27">
        <v>40554</v>
      </c>
      <c r="C242" s="8" t="str">
        <f t="shared" si="6"/>
        <v>2011</v>
      </c>
      <c r="D242" s="8" t="str">
        <f t="shared" si="7"/>
        <v>11</v>
      </c>
      <c r="E242" s="7">
        <v>1</v>
      </c>
      <c r="F242" s="7">
        <v>0</v>
      </c>
      <c r="G242" s="7">
        <v>1</v>
      </c>
      <c r="H242" s="7">
        <v>9</v>
      </c>
      <c r="I242" s="7" t="b">
        <v>0</v>
      </c>
      <c r="J242" s="22">
        <f>--Table1[[#This Row],[HOLIDAY]]</f>
        <v>0</v>
      </c>
      <c r="K242" s="9">
        <v>2</v>
      </c>
      <c r="L242" s="7">
        <v>2</v>
      </c>
      <c r="M242" s="7">
        <f>LEN(TEXT(Table1[[#This Row],[WEATHER]],"0"))</f>
        <v>1</v>
      </c>
      <c r="N242" s="36">
        <v>0.18</v>
      </c>
      <c r="O242" s="37">
        <f>VLOOKUP(Table1[[#This Row],[INSTANT]],[1]dataset_2!$A:$G,2,FALSE)</f>
        <v>0.1515</v>
      </c>
      <c r="P242" s="37">
        <f>VLOOKUP(Table1[[#This Row],[INSTANT]],[1]dataset_2!$A:$G,3,0)</f>
        <v>0.93</v>
      </c>
      <c r="Q242" s="37">
        <f>VLOOKUP(Table1[[#This Row],[INSTANT]],[1]dataset_2!$A:$D,4,FALSE)</f>
        <v>0.19400000000000001</v>
      </c>
      <c r="R242" s="37">
        <f>VLOOKUP(Table1[[#This Row],[INSTANT]],[1]dataset_2!$A:$G,5,0)</f>
        <v>0</v>
      </c>
      <c r="S242" s="38">
        <f>VLOOKUP(Table1[[#This Row],[INSTANT]],[1]dataset_2!$A:$G,6,0)</f>
        <v>32</v>
      </c>
      <c r="T242" s="38">
        <f>VLOOKUP(Table1[[#This Row],[INSTANT]],[1]dataset_2!$A:$G,7,0)</f>
        <v>32</v>
      </c>
    </row>
    <row r="243" spans="1:20" ht="13" x14ac:dyDescent="0.15">
      <c r="A243" s="35">
        <v>242</v>
      </c>
      <c r="B243" s="27">
        <v>40554</v>
      </c>
      <c r="C243" s="8" t="str">
        <f t="shared" si="6"/>
        <v>2011</v>
      </c>
      <c r="D243" s="8" t="str">
        <f t="shared" si="7"/>
        <v>11</v>
      </c>
      <c r="E243" s="7">
        <v>1</v>
      </c>
      <c r="F243" s="7">
        <v>0</v>
      </c>
      <c r="G243" s="7">
        <v>1</v>
      </c>
      <c r="H243" s="7">
        <v>10</v>
      </c>
      <c r="I243" s="7" t="b">
        <v>0</v>
      </c>
      <c r="J243" s="22">
        <f>--Table1[[#This Row],[HOLIDAY]]</f>
        <v>0</v>
      </c>
      <c r="K243" s="9">
        <v>2</v>
      </c>
      <c r="L243" s="7">
        <v>2</v>
      </c>
      <c r="M243" s="7">
        <f>LEN(TEXT(Table1[[#This Row],[WEATHER]],"0"))</f>
        <v>1</v>
      </c>
      <c r="N243" s="36">
        <v>0.2</v>
      </c>
      <c r="O243" s="37">
        <f>VLOOKUP(Table1[[#This Row],[INSTANT]],[1]dataset_2!$A:$G,2,FALSE)</f>
        <v>0.19700000000000001</v>
      </c>
      <c r="P243" s="37">
        <f>VLOOKUP(Table1[[#This Row],[INSTANT]],[1]dataset_2!$A:$G,3,0)</f>
        <v>0.86</v>
      </c>
      <c r="Q243" s="37">
        <f>VLOOKUP(Table1[[#This Row],[INSTANT]],[1]dataset_2!$A:$D,4,FALSE)</f>
        <v>8.9599999999999999E-2</v>
      </c>
      <c r="R243" s="37">
        <f>VLOOKUP(Table1[[#This Row],[INSTANT]],[1]dataset_2!$A:$G,5,0)</f>
        <v>0</v>
      </c>
      <c r="S243" s="38">
        <f>VLOOKUP(Table1[[#This Row],[INSTANT]],[1]dataset_2!$A:$G,6,0)</f>
        <v>20</v>
      </c>
      <c r="T243" s="38">
        <f>VLOOKUP(Table1[[#This Row],[INSTANT]],[1]dataset_2!$A:$G,7,0)</f>
        <v>20</v>
      </c>
    </row>
    <row r="244" spans="1:20" ht="13" x14ac:dyDescent="0.15">
      <c r="A244" s="35">
        <v>243</v>
      </c>
      <c r="B244" s="27">
        <v>40554</v>
      </c>
      <c r="C244" s="8" t="str">
        <f t="shared" si="6"/>
        <v>2011</v>
      </c>
      <c r="D244" s="8" t="str">
        <f t="shared" si="7"/>
        <v>11</v>
      </c>
      <c r="E244" s="7">
        <v>1</v>
      </c>
      <c r="F244" s="7">
        <v>0</v>
      </c>
      <c r="G244" s="7">
        <v>1</v>
      </c>
      <c r="H244" s="7">
        <v>11</v>
      </c>
      <c r="I244" s="7" t="b">
        <v>0</v>
      </c>
      <c r="J244" s="22">
        <f>--Table1[[#This Row],[HOLIDAY]]</f>
        <v>0</v>
      </c>
      <c r="K244" s="9">
        <v>2</v>
      </c>
      <c r="L244" s="7">
        <v>2</v>
      </c>
      <c r="M244" s="7">
        <f>LEN(TEXT(Table1[[#This Row],[WEATHER]],"0"))</f>
        <v>1</v>
      </c>
      <c r="N244" s="36">
        <v>0.2</v>
      </c>
      <c r="O244" s="37">
        <f>VLOOKUP(Table1[[#This Row],[INSTANT]],[1]dataset_2!$A:$G,2,FALSE)</f>
        <v>0.18179999999999999</v>
      </c>
      <c r="P244" s="37">
        <f>VLOOKUP(Table1[[#This Row],[INSTANT]],[1]dataset_2!$A:$G,3,0)</f>
        <v>0.93</v>
      </c>
      <c r="Q244" s="37">
        <f>VLOOKUP(Table1[[#This Row],[INSTANT]],[1]dataset_2!$A:$D,4,FALSE)</f>
        <v>0.1045</v>
      </c>
      <c r="R244" s="37">
        <f>VLOOKUP(Table1[[#This Row],[INSTANT]],[1]dataset_2!$A:$G,5,0)</f>
        <v>1</v>
      </c>
      <c r="S244" s="38">
        <f>VLOOKUP(Table1[[#This Row],[INSTANT]],[1]dataset_2!$A:$G,6,0)</f>
        <v>28</v>
      </c>
      <c r="T244" s="38">
        <f>VLOOKUP(Table1[[#This Row],[INSTANT]],[1]dataset_2!$A:$G,7,0)</f>
        <v>29</v>
      </c>
    </row>
    <row r="245" spans="1:20" ht="13" x14ac:dyDescent="0.15">
      <c r="A245" s="35">
        <v>244</v>
      </c>
      <c r="B245" s="27">
        <v>40554</v>
      </c>
      <c r="C245" s="8" t="str">
        <f t="shared" si="6"/>
        <v>2011</v>
      </c>
      <c r="D245" s="8" t="str">
        <f t="shared" si="7"/>
        <v>11</v>
      </c>
      <c r="E245" s="7">
        <v>1</v>
      </c>
      <c r="F245" s="7">
        <v>0</v>
      </c>
      <c r="G245" s="7">
        <v>1</v>
      </c>
      <c r="H245" s="7">
        <v>12</v>
      </c>
      <c r="I245" s="7" t="b">
        <v>0</v>
      </c>
      <c r="J245" s="22">
        <f>--Table1[[#This Row],[HOLIDAY]]</f>
        <v>0</v>
      </c>
      <c r="K245" s="9">
        <v>2</v>
      </c>
      <c r="L245" s="7">
        <v>2</v>
      </c>
      <c r="M245" s="7">
        <f>LEN(TEXT(Table1[[#This Row],[WEATHER]],"0"))</f>
        <v>1</v>
      </c>
      <c r="N245" s="36">
        <v>0.2</v>
      </c>
      <c r="O245" s="37">
        <f>VLOOKUP(Table1[[#This Row],[INSTANT]],[1]dataset_2!$A:$G,2,FALSE)</f>
        <v>0.19700000000000001</v>
      </c>
      <c r="P245" s="37">
        <f>VLOOKUP(Table1[[#This Row],[INSTANT]],[1]dataset_2!$A:$G,3,0)</f>
        <v>0.93</v>
      </c>
      <c r="Q245" s="37">
        <f>VLOOKUP(Table1[[#This Row],[INSTANT]],[1]dataset_2!$A:$D,4,FALSE)</f>
        <v>8.9599999999999999E-2</v>
      </c>
      <c r="R245" s="37">
        <f>VLOOKUP(Table1[[#This Row],[INSTANT]],[1]dataset_2!$A:$G,5,0)</f>
        <v>1</v>
      </c>
      <c r="S245" s="38">
        <f>VLOOKUP(Table1[[#This Row],[INSTANT]],[1]dataset_2!$A:$G,6,0)</f>
        <v>18</v>
      </c>
      <c r="T245" s="38">
        <f>VLOOKUP(Table1[[#This Row],[INSTANT]],[1]dataset_2!$A:$G,7,0)</f>
        <v>19</v>
      </c>
    </row>
    <row r="246" spans="1:20" ht="13" x14ac:dyDescent="0.15">
      <c r="A246" s="35">
        <v>245</v>
      </c>
      <c r="B246" s="27">
        <v>40554</v>
      </c>
      <c r="C246" s="8" t="str">
        <f t="shared" si="6"/>
        <v>2011</v>
      </c>
      <c r="D246" s="8" t="str">
        <f t="shared" si="7"/>
        <v>11</v>
      </c>
      <c r="E246" s="7">
        <v>1</v>
      </c>
      <c r="F246" s="7">
        <v>0</v>
      </c>
      <c r="G246" s="7">
        <v>1</v>
      </c>
      <c r="H246" s="7">
        <v>13</v>
      </c>
      <c r="I246" s="7" t="b">
        <v>0</v>
      </c>
      <c r="J246" s="22">
        <f>--Table1[[#This Row],[HOLIDAY]]</f>
        <v>0</v>
      </c>
      <c r="K246" s="9">
        <v>2</v>
      </c>
      <c r="L246" s="7">
        <v>2</v>
      </c>
      <c r="M246" s="7">
        <f>LEN(TEXT(Table1[[#This Row],[WEATHER]],"0"))</f>
        <v>1</v>
      </c>
      <c r="N246" s="36">
        <v>0.2</v>
      </c>
      <c r="O246" s="37">
        <f>VLOOKUP(Table1[[#This Row],[INSTANT]],[1]dataset_2!$A:$G,2,FALSE)</f>
        <v>0.19700000000000001</v>
      </c>
      <c r="P246" s="37">
        <f>VLOOKUP(Table1[[#This Row],[INSTANT]],[1]dataset_2!$A:$G,3,0)</f>
        <v>0.86</v>
      </c>
      <c r="Q246" s="37">
        <f>VLOOKUP(Table1[[#This Row],[INSTANT]],[1]dataset_2!$A:$D,4,FALSE)</f>
        <v>8.9599999999999999E-2</v>
      </c>
      <c r="R246" s="37">
        <f>VLOOKUP(Table1[[#This Row],[INSTANT]],[1]dataset_2!$A:$G,5,0)</f>
        <v>0</v>
      </c>
      <c r="S246" s="38">
        <f>VLOOKUP(Table1[[#This Row],[INSTANT]],[1]dataset_2!$A:$G,6,0)</f>
        <v>7</v>
      </c>
      <c r="T246" s="38">
        <f>VLOOKUP(Table1[[#This Row],[INSTANT]],[1]dataset_2!$A:$G,7,0)</f>
        <v>7</v>
      </c>
    </row>
    <row r="247" spans="1:20" ht="13" x14ac:dyDescent="0.15">
      <c r="A247" s="35">
        <v>246</v>
      </c>
      <c r="B247" s="27">
        <v>40554</v>
      </c>
      <c r="C247" s="8" t="str">
        <f t="shared" si="6"/>
        <v>2011</v>
      </c>
      <c r="D247" s="8" t="str">
        <f t="shared" si="7"/>
        <v>11</v>
      </c>
      <c r="E247" s="7">
        <v>1</v>
      </c>
      <c r="F247" s="7">
        <v>0</v>
      </c>
      <c r="G247" s="7">
        <v>1</v>
      </c>
      <c r="H247" s="7">
        <v>14</v>
      </c>
      <c r="I247" s="7" t="b">
        <v>0</v>
      </c>
      <c r="J247" s="22">
        <f>--Table1[[#This Row],[HOLIDAY]]</f>
        <v>0</v>
      </c>
      <c r="K247" s="9">
        <v>2</v>
      </c>
      <c r="L247" s="7">
        <v>2</v>
      </c>
      <c r="M247" s="7">
        <f>LEN(TEXT(Table1[[#This Row],[WEATHER]],"0"))</f>
        <v>1</v>
      </c>
      <c r="N247" s="36">
        <v>0.2</v>
      </c>
      <c r="O247" s="37">
        <f>VLOOKUP(Table1[[#This Row],[INSTANT]],[1]dataset_2!$A:$G,2,FALSE)</f>
        <v>0.18179999999999999</v>
      </c>
      <c r="P247" s="37">
        <f>VLOOKUP(Table1[[#This Row],[INSTANT]],[1]dataset_2!$A:$G,3,0)</f>
        <v>0.86</v>
      </c>
      <c r="Q247" s="37">
        <f>VLOOKUP(Table1[[#This Row],[INSTANT]],[1]dataset_2!$A:$D,4,FALSE)</f>
        <v>0.1045</v>
      </c>
      <c r="R247" s="37">
        <f>VLOOKUP(Table1[[#This Row],[INSTANT]],[1]dataset_2!$A:$G,5,0)</f>
        <v>0</v>
      </c>
      <c r="S247" s="38">
        <f>VLOOKUP(Table1[[#This Row],[INSTANT]],[1]dataset_2!$A:$G,6,0)</f>
        <v>6</v>
      </c>
      <c r="T247" s="38">
        <f>VLOOKUP(Table1[[#This Row],[INSTANT]],[1]dataset_2!$A:$G,7,0)</f>
        <v>6</v>
      </c>
    </row>
    <row r="248" spans="1:20" ht="13" x14ac:dyDescent="0.15">
      <c r="A248" s="35">
        <v>247</v>
      </c>
      <c r="B248" s="27">
        <v>40554</v>
      </c>
      <c r="C248" s="8" t="str">
        <f t="shared" si="6"/>
        <v>2011</v>
      </c>
      <c r="D248" s="8" t="str">
        <f t="shared" si="7"/>
        <v>11</v>
      </c>
      <c r="E248" s="7">
        <v>1</v>
      </c>
      <c r="F248" s="7">
        <v>0</v>
      </c>
      <c r="G248" s="7">
        <v>1</v>
      </c>
      <c r="H248" s="7">
        <v>15</v>
      </c>
      <c r="I248" s="7" t="b">
        <v>0</v>
      </c>
      <c r="J248" s="22">
        <f>--Table1[[#This Row],[HOLIDAY]]</f>
        <v>0</v>
      </c>
      <c r="K248" s="9">
        <v>2</v>
      </c>
      <c r="L248" s="7">
        <v>2</v>
      </c>
      <c r="M248" s="7">
        <f>LEN(TEXT(Table1[[#This Row],[WEATHER]],"0"))</f>
        <v>1</v>
      </c>
      <c r="N248" s="36">
        <v>0.16</v>
      </c>
      <c r="O248" s="37">
        <f>VLOOKUP(Table1[[#This Row],[INSTANT]],[1]dataset_2!$A:$G,2,FALSE)</f>
        <v>0.1515</v>
      </c>
      <c r="P248" s="37">
        <f>VLOOKUP(Table1[[#This Row],[INSTANT]],[1]dataset_2!$A:$G,3,0)</f>
        <v>0.86</v>
      </c>
      <c r="Q248" s="37">
        <f>VLOOKUP(Table1[[#This Row],[INSTANT]],[1]dataset_2!$A:$D,4,FALSE)</f>
        <v>0.1343</v>
      </c>
      <c r="R248" s="37">
        <f>VLOOKUP(Table1[[#This Row],[INSTANT]],[1]dataset_2!$A:$G,5,0)</f>
        <v>0</v>
      </c>
      <c r="S248" s="38">
        <f>VLOOKUP(Table1[[#This Row],[INSTANT]],[1]dataset_2!$A:$G,6,0)</f>
        <v>1</v>
      </c>
      <c r="T248" s="38">
        <f>VLOOKUP(Table1[[#This Row],[INSTANT]],[1]dataset_2!$A:$G,7,0)</f>
        <v>1</v>
      </c>
    </row>
    <row r="249" spans="1:20" ht="13" x14ac:dyDescent="0.15">
      <c r="A249" s="35">
        <v>248</v>
      </c>
      <c r="B249" s="27">
        <v>40554</v>
      </c>
      <c r="C249" s="8" t="str">
        <f t="shared" si="6"/>
        <v>2011</v>
      </c>
      <c r="D249" s="8" t="str">
        <f t="shared" si="7"/>
        <v>11</v>
      </c>
      <c r="E249" s="7">
        <v>1</v>
      </c>
      <c r="F249" s="7">
        <v>0</v>
      </c>
      <c r="G249" s="7">
        <v>1</v>
      </c>
      <c r="H249" s="7">
        <v>16</v>
      </c>
      <c r="I249" s="7" t="b">
        <v>0</v>
      </c>
      <c r="J249" s="22">
        <f>--Table1[[#This Row],[HOLIDAY]]</f>
        <v>0</v>
      </c>
      <c r="K249" s="9">
        <v>2</v>
      </c>
      <c r="L249" s="7">
        <v>2</v>
      </c>
      <c r="M249" s="7">
        <f>LEN(TEXT(Table1[[#This Row],[WEATHER]],"0"))</f>
        <v>1</v>
      </c>
      <c r="N249" s="36">
        <v>0.16</v>
      </c>
      <c r="O249" s="37">
        <f>VLOOKUP(Table1[[#This Row],[INSTANT]],[1]dataset_2!$A:$G,2,FALSE)</f>
        <v>0.1515</v>
      </c>
      <c r="P249" s="37">
        <f>VLOOKUP(Table1[[#This Row],[INSTANT]],[1]dataset_2!$A:$G,3,0)</f>
        <v>0.86</v>
      </c>
      <c r="Q249" s="37">
        <f>VLOOKUP(Table1[[#This Row],[INSTANT]],[1]dataset_2!$A:$D,4,FALSE)</f>
        <v>0.16420000000000001</v>
      </c>
      <c r="R249" s="37">
        <f>VLOOKUP(Table1[[#This Row],[INSTANT]],[1]dataset_2!$A:$G,5,0)</f>
        <v>0</v>
      </c>
      <c r="S249" s="38">
        <f>VLOOKUP(Table1[[#This Row],[INSTANT]],[1]dataset_2!$A:$G,6,0)</f>
        <v>5</v>
      </c>
      <c r="T249" s="38">
        <f>VLOOKUP(Table1[[#This Row],[INSTANT]],[1]dataset_2!$A:$G,7,0)</f>
        <v>5</v>
      </c>
    </row>
    <row r="250" spans="1:20" ht="13" x14ac:dyDescent="0.15">
      <c r="A250" s="35">
        <v>249</v>
      </c>
      <c r="B250" s="27">
        <v>40554</v>
      </c>
      <c r="C250" s="8" t="str">
        <f t="shared" si="6"/>
        <v>2011</v>
      </c>
      <c r="D250" s="8" t="str">
        <f t="shared" si="7"/>
        <v>11</v>
      </c>
      <c r="E250" s="7">
        <v>1</v>
      </c>
      <c r="F250" s="7">
        <v>0</v>
      </c>
      <c r="G250" s="7">
        <v>1</v>
      </c>
      <c r="H250" s="7">
        <v>17</v>
      </c>
      <c r="I250" s="7" t="b">
        <v>0</v>
      </c>
      <c r="J250" s="22">
        <f>--Table1[[#This Row],[HOLIDAY]]</f>
        <v>0</v>
      </c>
      <c r="K250" s="9">
        <v>2</v>
      </c>
      <c r="L250" s="7">
        <v>2</v>
      </c>
      <c r="M250" s="7">
        <f>LEN(TEXT(Table1[[#This Row],[WEATHER]],"0"))</f>
        <v>1</v>
      </c>
      <c r="N250" s="36">
        <v>0.16</v>
      </c>
      <c r="O250" s="37">
        <f>VLOOKUP(Table1[[#This Row],[INSTANT]],[1]dataset_2!$A:$G,2,FALSE)</f>
        <v>0.1515</v>
      </c>
      <c r="P250" s="37">
        <f>VLOOKUP(Table1[[#This Row],[INSTANT]],[1]dataset_2!$A:$G,3,0)</f>
        <v>0.93</v>
      </c>
      <c r="Q250" s="37">
        <f>VLOOKUP(Table1[[#This Row],[INSTANT]],[1]dataset_2!$A:$D,4,FALSE)</f>
        <v>0.1343</v>
      </c>
      <c r="R250" s="37">
        <f>VLOOKUP(Table1[[#This Row],[INSTANT]],[1]dataset_2!$A:$G,5,0)</f>
        <v>0</v>
      </c>
      <c r="S250" s="38">
        <f>VLOOKUP(Table1[[#This Row],[INSTANT]],[1]dataset_2!$A:$G,6,0)</f>
        <v>16</v>
      </c>
      <c r="T250" s="38">
        <f>VLOOKUP(Table1[[#This Row],[INSTANT]],[1]dataset_2!$A:$G,7,0)</f>
        <v>16</v>
      </c>
    </row>
    <row r="251" spans="1:20" ht="13" x14ac:dyDescent="0.15">
      <c r="A251" s="35">
        <v>250</v>
      </c>
      <c r="B251" s="27">
        <v>40554</v>
      </c>
      <c r="C251" s="8" t="str">
        <f t="shared" si="6"/>
        <v>2011</v>
      </c>
      <c r="D251" s="8" t="str">
        <f t="shared" si="7"/>
        <v>11</v>
      </c>
      <c r="E251" s="7">
        <v>1</v>
      </c>
      <c r="F251" s="7">
        <v>0</v>
      </c>
      <c r="G251" s="7">
        <v>1</v>
      </c>
      <c r="H251" s="7">
        <v>18</v>
      </c>
      <c r="I251" s="7" t="b">
        <v>0</v>
      </c>
      <c r="J251" s="22">
        <f>--Table1[[#This Row],[HOLIDAY]]</f>
        <v>0</v>
      </c>
      <c r="K251" s="9">
        <v>2</v>
      </c>
      <c r="L251" s="7">
        <v>3</v>
      </c>
      <c r="M251" s="7">
        <f>LEN(TEXT(Table1[[#This Row],[WEATHER]],"0"))</f>
        <v>1</v>
      </c>
      <c r="N251" s="36">
        <v>0.16</v>
      </c>
      <c r="O251" s="37">
        <f>VLOOKUP(Table1[[#This Row],[INSTANT]],[1]dataset_2!$A:$G,2,FALSE)</f>
        <v>0.1515</v>
      </c>
      <c r="P251" s="37">
        <f>VLOOKUP(Table1[[#This Row],[INSTANT]],[1]dataset_2!$A:$G,3,0)</f>
        <v>0.69</v>
      </c>
      <c r="Q251" s="37">
        <f>VLOOKUP(Table1[[#This Row],[INSTANT]],[1]dataset_2!$A:$D,4,FALSE)</f>
        <v>0.1343</v>
      </c>
      <c r="R251" s="37">
        <f>VLOOKUP(Table1[[#This Row],[INSTANT]],[1]dataset_2!$A:$G,5,0)</f>
        <v>0</v>
      </c>
      <c r="S251" s="38">
        <f>VLOOKUP(Table1[[#This Row],[INSTANT]],[1]dataset_2!$A:$G,6,0)</f>
        <v>54</v>
      </c>
      <c r="T251" s="38">
        <f>VLOOKUP(Table1[[#This Row],[INSTANT]],[1]dataset_2!$A:$G,7,0)</f>
        <v>54</v>
      </c>
    </row>
    <row r="252" spans="1:20" ht="13" x14ac:dyDescent="0.15">
      <c r="A252" s="35">
        <v>251</v>
      </c>
      <c r="B252" s="27">
        <v>40554</v>
      </c>
      <c r="C252" s="8" t="str">
        <f t="shared" si="6"/>
        <v>2011</v>
      </c>
      <c r="D252" s="8" t="str">
        <f t="shared" si="7"/>
        <v>11</v>
      </c>
      <c r="E252" s="7">
        <v>1</v>
      </c>
      <c r="F252" s="7">
        <v>0</v>
      </c>
      <c r="G252" s="7">
        <v>1</v>
      </c>
      <c r="H252" s="7">
        <v>19</v>
      </c>
      <c r="I252" s="7" t="b">
        <v>0</v>
      </c>
      <c r="J252" s="22">
        <f>--Table1[[#This Row],[HOLIDAY]]</f>
        <v>0</v>
      </c>
      <c r="K252" s="9">
        <v>2</v>
      </c>
      <c r="L252" s="7">
        <v>3</v>
      </c>
      <c r="M252" s="7">
        <f>LEN(TEXT(Table1[[#This Row],[WEATHER]],"0"))</f>
        <v>1</v>
      </c>
      <c r="N252" s="36">
        <v>0.16</v>
      </c>
      <c r="O252" s="37">
        <f>VLOOKUP(Table1[[#This Row],[INSTANT]],[1]dataset_2!$A:$G,2,FALSE)</f>
        <v>0.16669999999999999</v>
      </c>
      <c r="P252" s="37">
        <f>VLOOKUP(Table1[[#This Row],[INSTANT]],[1]dataset_2!$A:$G,3,0)</f>
        <v>0.59</v>
      </c>
      <c r="Q252" s="37">
        <f>VLOOKUP(Table1[[#This Row],[INSTANT]],[1]dataset_2!$A:$D,4,FALSE)</f>
        <v>0.16420000000000001</v>
      </c>
      <c r="R252" s="37">
        <f>VLOOKUP(Table1[[#This Row],[INSTANT]],[1]dataset_2!$A:$G,5,0)</f>
        <v>3</v>
      </c>
      <c r="S252" s="38">
        <f>VLOOKUP(Table1[[#This Row],[INSTANT]],[1]dataset_2!$A:$G,6,0)</f>
        <v>125</v>
      </c>
      <c r="T252" s="38">
        <f>VLOOKUP(Table1[[#This Row],[INSTANT]],[1]dataset_2!$A:$G,7,0)</f>
        <v>128</v>
      </c>
    </row>
    <row r="253" spans="1:20" ht="13" x14ac:dyDescent="0.15">
      <c r="A253" s="35">
        <v>252</v>
      </c>
      <c r="B253" s="27">
        <v>40554</v>
      </c>
      <c r="C253" s="8" t="str">
        <f t="shared" si="6"/>
        <v>2011</v>
      </c>
      <c r="D253" s="8" t="str">
        <f t="shared" si="7"/>
        <v>11</v>
      </c>
      <c r="E253" s="7">
        <v>1</v>
      </c>
      <c r="F253" s="7">
        <v>0</v>
      </c>
      <c r="G253" s="7">
        <v>1</v>
      </c>
      <c r="H253" s="7">
        <v>20</v>
      </c>
      <c r="I253" s="7" t="b">
        <v>0</v>
      </c>
      <c r="J253" s="22">
        <f>--Table1[[#This Row],[HOLIDAY]]</f>
        <v>0</v>
      </c>
      <c r="K253" s="9">
        <v>2</v>
      </c>
      <c r="L253" s="7">
        <v>3</v>
      </c>
      <c r="M253" s="7">
        <f>LEN(TEXT(Table1[[#This Row],[WEATHER]],"0"))</f>
        <v>1</v>
      </c>
      <c r="N253" s="36">
        <v>0.16</v>
      </c>
      <c r="O253" s="37">
        <f>VLOOKUP(Table1[[#This Row],[INSTANT]],[1]dataset_2!$A:$G,2,FALSE)</f>
        <v>0.13639999999999999</v>
      </c>
      <c r="P253" s="37">
        <f>VLOOKUP(Table1[[#This Row],[INSTANT]],[1]dataset_2!$A:$G,3,0)</f>
        <v>0.59</v>
      </c>
      <c r="Q253" s="37">
        <f>VLOOKUP(Table1[[#This Row],[INSTANT]],[1]dataset_2!$A:$D,4,FALSE)</f>
        <v>0.32840000000000003</v>
      </c>
      <c r="R253" s="37">
        <f>VLOOKUP(Table1[[#This Row],[INSTANT]],[1]dataset_2!$A:$G,5,0)</f>
        <v>3</v>
      </c>
      <c r="S253" s="38">
        <f>VLOOKUP(Table1[[#This Row],[INSTANT]],[1]dataset_2!$A:$G,6,0)</f>
        <v>78</v>
      </c>
      <c r="T253" s="38">
        <f>VLOOKUP(Table1[[#This Row],[INSTANT]],[1]dataset_2!$A:$G,7,0)</f>
        <v>81</v>
      </c>
    </row>
    <row r="254" spans="1:20" ht="13" x14ac:dyDescent="0.15">
      <c r="A254" s="35">
        <v>253</v>
      </c>
      <c r="B254" s="27">
        <v>40554</v>
      </c>
      <c r="C254" s="8" t="str">
        <f t="shared" si="6"/>
        <v>2011</v>
      </c>
      <c r="D254" s="8" t="str">
        <f t="shared" si="7"/>
        <v>11</v>
      </c>
      <c r="E254" s="7">
        <v>1</v>
      </c>
      <c r="F254" s="7">
        <v>0</v>
      </c>
      <c r="G254" s="7">
        <v>1</v>
      </c>
      <c r="H254" s="7">
        <v>21</v>
      </c>
      <c r="I254" s="7" t="b">
        <v>0</v>
      </c>
      <c r="J254" s="22">
        <f>--Table1[[#This Row],[HOLIDAY]]</f>
        <v>0</v>
      </c>
      <c r="K254" s="9">
        <v>2</v>
      </c>
      <c r="L254" s="7">
        <v>3</v>
      </c>
      <c r="M254" s="7">
        <f>LEN(TEXT(Table1[[#This Row],[WEATHER]],"0"))</f>
        <v>1</v>
      </c>
      <c r="N254" s="36">
        <v>0.16</v>
      </c>
      <c r="O254" s="37">
        <f>VLOOKUP(Table1[[#This Row],[INSTANT]],[1]dataset_2!$A:$G,2,FALSE)</f>
        <v>0.18179999999999999</v>
      </c>
      <c r="P254" s="37">
        <f>VLOOKUP(Table1[[#This Row],[INSTANT]],[1]dataset_2!$A:$G,3,0)</f>
        <v>0.55000000000000004</v>
      </c>
      <c r="Q254" s="37">
        <f>VLOOKUP(Table1[[#This Row],[INSTANT]],[1]dataset_2!$A:$D,4,FALSE)</f>
        <v>0.22389999999999999</v>
      </c>
      <c r="R254" s="37">
        <f>VLOOKUP(Table1[[#This Row],[INSTANT]],[1]dataset_2!$A:$G,5,0)</f>
        <v>0</v>
      </c>
      <c r="S254" s="38">
        <f>VLOOKUP(Table1[[#This Row],[INSTANT]],[1]dataset_2!$A:$G,6,0)</f>
        <v>39</v>
      </c>
      <c r="T254" s="38">
        <f>VLOOKUP(Table1[[#This Row],[INSTANT]],[1]dataset_2!$A:$G,7,0)</f>
        <v>39</v>
      </c>
    </row>
    <row r="255" spans="1:20" ht="13" x14ac:dyDescent="0.15">
      <c r="A255" s="35">
        <v>254</v>
      </c>
      <c r="B255" s="27">
        <v>40554</v>
      </c>
      <c r="C255" s="8" t="str">
        <f t="shared" si="6"/>
        <v>2011</v>
      </c>
      <c r="D255" s="8" t="str">
        <f t="shared" si="7"/>
        <v>11</v>
      </c>
      <c r="E255" s="7">
        <v>1</v>
      </c>
      <c r="F255" s="7">
        <v>0</v>
      </c>
      <c r="G255" s="7">
        <v>1</v>
      </c>
      <c r="H255" s="7">
        <v>22</v>
      </c>
      <c r="I255" s="7" t="b">
        <v>0</v>
      </c>
      <c r="J255" s="22">
        <f>--Table1[[#This Row],[HOLIDAY]]</f>
        <v>0</v>
      </c>
      <c r="K255" s="9">
        <v>2</v>
      </c>
      <c r="L255" s="7">
        <v>3</v>
      </c>
      <c r="M255" s="7">
        <f>LEN(TEXT(Table1[[#This Row],[WEATHER]],"0"))</f>
        <v>1</v>
      </c>
      <c r="N255" s="36">
        <v>0.16</v>
      </c>
      <c r="O255" s="37">
        <f>VLOOKUP(Table1[[#This Row],[INSTANT]],[1]dataset_2!$A:$G,2,FALSE)</f>
        <v>0.18179999999999999</v>
      </c>
      <c r="P255" s="37">
        <f>VLOOKUP(Table1[[#This Row],[INSTANT]],[1]dataset_2!$A:$G,3,0)</f>
        <v>0.51</v>
      </c>
      <c r="Q255" s="37">
        <f>VLOOKUP(Table1[[#This Row],[INSTANT]],[1]dataset_2!$A:$D,4,FALSE)</f>
        <v>0.3881</v>
      </c>
      <c r="R255" s="37">
        <f>VLOOKUP(Table1[[#This Row],[INSTANT]],[1]dataset_2!$A:$G,5,0)</f>
        <v>3</v>
      </c>
      <c r="S255" s="38">
        <f>VLOOKUP(Table1[[#This Row],[INSTANT]],[1]dataset_2!$A:$G,6,0)</f>
        <v>32</v>
      </c>
      <c r="T255" s="38">
        <f>VLOOKUP(Table1[[#This Row],[INSTANT]],[1]dataset_2!$A:$G,7,0)</f>
        <v>35</v>
      </c>
    </row>
    <row r="256" spans="1:20" ht="13" x14ac:dyDescent="0.15">
      <c r="A256" s="35">
        <v>255</v>
      </c>
      <c r="B256" s="27">
        <v>40554</v>
      </c>
      <c r="C256" s="8" t="str">
        <f t="shared" si="6"/>
        <v>2011</v>
      </c>
      <c r="D256" s="8" t="str">
        <f t="shared" si="7"/>
        <v>11</v>
      </c>
      <c r="E256" s="7">
        <v>1</v>
      </c>
      <c r="F256" s="7">
        <v>0</v>
      </c>
      <c r="G256" s="7">
        <v>1</v>
      </c>
      <c r="H256" s="7">
        <v>23</v>
      </c>
      <c r="I256" s="7" t="b">
        <v>0</v>
      </c>
      <c r="J256" s="22">
        <f>--Table1[[#This Row],[HOLIDAY]]</f>
        <v>0</v>
      </c>
      <c r="K256" s="9">
        <v>2</v>
      </c>
      <c r="L256" s="7">
        <v>3</v>
      </c>
      <c r="M256" s="7">
        <f>LEN(TEXT(Table1[[#This Row],[WEATHER]],"0"))</f>
        <v>1</v>
      </c>
      <c r="N256" s="36">
        <v>0.16</v>
      </c>
      <c r="O256" s="37">
        <f>VLOOKUP(Table1[[#This Row],[INSTANT]],[1]dataset_2!$A:$G,2,FALSE)</f>
        <v>0.1515</v>
      </c>
      <c r="P256" s="37">
        <f>VLOOKUP(Table1[[#This Row],[INSTANT]],[1]dataset_2!$A:$G,3,0)</f>
        <v>0.47</v>
      </c>
      <c r="Q256" s="37">
        <f>VLOOKUP(Table1[[#This Row],[INSTANT]],[1]dataset_2!$A:$D,4,FALSE)</f>
        <v>0.58209999999999995</v>
      </c>
      <c r="R256" s="37">
        <f>VLOOKUP(Table1[[#This Row],[INSTANT]],[1]dataset_2!$A:$G,5,0)</f>
        <v>3</v>
      </c>
      <c r="S256" s="38">
        <f>VLOOKUP(Table1[[#This Row],[INSTANT]],[1]dataset_2!$A:$G,6,0)</f>
        <v>52</v>
      </c>
      <c r="T256" s="38">
        <f>VLOOKUP(Table1[[#This Row],[INSTANT]],[1]dataset_2!$A:$G,7,0)</f>
        <v>55</v>
      </c>
    </row>
    <row r="257" spans="1:20" ht="13" x14ac:dyDescent="0.15">
      <c r="A257" s="35">
        <v>256</v>
      </c>
      <c r="B257" s="27">
        <v>40555</v>
      </c>
      <c r="C257" s="8" t="str">
        <f t="shared" si="6"/>
        <v>2011</v>
      </c>
      <c r="D257" s="8" t="str">
        <f t="shared" si="7"/>
        <v>12</v>
      </c>
      <c r="E257" s="7">
        <v>1</v>
      </c>
      <c r="F257" s="7">
        <v>0</v>
      </c>
      <c r="G257" s="7">
        <v>1</v>
      </c>
      <c r="H257" s="7">
        <v>0</v>
      </c>
      <c r="I257" s="7" t="b">
        <v>0</v>
      </c>
      <c r="J257" s="22">
        <f>--Table1[[#This Row],[HOLIDAY]]</f>
        <v>0</v>
      </c>
      <c r="K257" s="9">
        <v>3</v>
      </c>
      <c r="L257" s="7">
        <v>2</v>
      </c>
      <c r="M257" s="7">
        <f>LEN(TEXT(Table1[[#This Row],[WEATHER]],"0"))</f>
        <v>1</v>
      </c>
      <c r="N257" s="36">
        <v>0.16</v>
      </c>
      <c r="O257" s="37">
        <f>VLOOKUP(Table1[[#This Row],[INSTANT]],[1]dataset_2!$A:$G,2,FALSE)</f>
        <v>0.19700000000000001</v>
      </c>
      <c r="P257" s="37">
        <f>VLOOKUP(Table1[[#This Row],[INSTANT]],[1]dataset_2!$A:$G,3,0)</f>
        <v>0.44</v>
      </c>
      <c r="Q257" s="37">
        <f>VLOOKUP(Table1[[#This Row],[INSTANT]],[1]dataset_2!$A:$D,4,FALSE)</f>
        <v>0.35820000000000002</v>
      </c>
      <c r="R257" s="37">
        <f>VLOOKUP(Table1[[#This Row],[INSTANT]],[1]dataset_2!$A:$G,5,0)</f>
        <v>0</v>
      </c>
      <c r="S257" s="38">
        <f>VLOOKUP(Table1[[#This Row],[INSTANT]],[1]dataset_2!$A:$G,6,0)</f>
        <v>49</v>
      </c>
      <c r="T257" s="38">
        <f>VLOOKUP(Table1[[#This Row],[INSTANT]],[1]dataset_2!$A:$G,7,0)</f>
        <v>49</v>
      </c>
    </row>
    <row r="258" spans="1:20" ht="13" x14ac:dyDescent="0.15">
      <c r="A258" s="35">
        <v>257</v>
      </c>
      <c r="B258" s="27">
        <v>40555</v>
      </c>
      <c r="C258" s="8" t="str">
        <f t="shared" ref="C258:C321" si="8">RIGHT(TEXT(B259,"DD-MM-YYYY"),4)</f>
        <v>2011</v>
      </c>
      <c r="D258" s="8" t="str">
        <f t="shared" ref="D258:D321" si="9">LEFT(TEXT(B258,"DD-MM-YYYY"),2)</f>
        <v>12</v>
      </c>
      <c r="E258" s="7">
        <v>1</v>
      </c>
      <c r="F258" s="7">
        <v>0</v>
      </c>
      <c r="G258" s="7">
        <v>1</v>
      </c>
      <c r="H258" s="7">
        <v>1</v>
      </c>
      <c r="I258" s="7" t="b">
        <v>0</v>
      </c>
      <c r="J258" s="22">
        <f>--Table1[[#This Row],[HOLIDAY]]</f>
        <v>0</v>
      </c>
      <c r="K258" s="9">
        <v>3</v>
      </c>
      <c r="L258" s="7">
        <v>2</v>
      </c>
      <c r="M258" s="7">
        <f>LEN(TEXT(Table1[[#This Row],[WEATHER]],"0"))</f>
        <v>1</v>
      </c>
      <c r="N258" s="36">
        <v>0.16</v>
      </c>
      <c r="O258" s="37">
        <f>VLOOKUP(Table1[[#This Row],[INSTANT]],[1]dataset_2!$A:$G,2,FALSE)</f>
        <v>0.18179999999999999</v>
      </c>
      <c r="P258" s="37">
        <f>VLOOKUP(Table1[[#This Row],[INSTANT]],[1]dataset_2!$A:$G,3,0)</f>
        <v>0.47</v>
      </c>
      <c r="Q258" s="37">
        <f>VLOOKUP(Table1[[#This Row],[INSTANT]],[1]dataset_2!$A:$D,4,FALSE)</f>
        <v>0.32840000000000003</v>
      </c>
      <c r="R258" s="37">
        <f>VLOOKUP(Table1[[#This Row],[INSTANT]],[1]dataset_2!$A:$G,5,0)</f>
        <v>0</v>
      </c>
      <c r="S258" s="38">
        <f>VLOOKUP(Table1[[#This Row],[INSTANT]],[1]dataset_2!$A:$G,6,0)</f>
        <v>44</v>
      </c>
      <c r="T258" s="38">
        <f>VLOOKUP(Table1[[#This Row],[INSTANT]],[1]dataset_2!$A:$G,7,0)</f>
        <v>44</v>
      </c>
    </row>
    <row r="259" spans="1:20" ht="13" x14ac:dyDescent="0.15">
      <c r="A259" s="35">
        <v>258</v>
      </c>
      <c r="B259" s="27">
        <v>40555</v>
      </c>
      <c r="C259" s="8" t="str">
        <f t="shared" si="8"/>
        <v>2011</v>
      </c>
      <c r="D259" s="8" t="str">
        <f t="shared" si="9"/>
        <v>12</v>
      </c>
      <c r="E259" s="7">
        <v>1</v>
      </c>
      <c r="F259" s="7">
        <v>0</v>
      </c>
      <c r="G259" s="7">
        <v>1</v>
      </c>
      <c r="H259" s="7">
        <v>2</v>
      </c>
      <c r="I259" s="7" t="b">
        <v>0</v>
      </c>
      <c r="J259" s="22">
        <f>--Table1[[#This Row],[HOLIDAY]]</f>
        <v>0</v>
      </c>
      <c r="K259" s="9">
        <v>3</v>
      </c>
      <c r="L259" s="7">
        <v>1</v>
      </c>
      <c r="M259" s="7">
        <f>LEN(TEXT(Table1[[#This Row],[WEATHER]],"0"))</f>
        <v>1</v>
      </c>
      <c r="N259" s="36">
        <v>0.14000000000000001</v>
      </c>
      <c r="O259" s="37">
        <f>VLOOKUP(Table1[[#This Row],[INSTANT]],[1]dataset_2!$A:$G,2,FALSE)</f>
        <v>0.16669999999999999</v>
      </c>
      <c r="P259" s="37">
        <f>VLOOKUP(Table1[[#This Row],[INSTANT]],[1]dataset_2!$A:$G,3,0)</f>
        <v>0.47</v>
      </c>
      <c r="Q259" s="37">
        <f>VLOOKUP(Table1[[#This Row],[INSTANT]],[1]dataset_2!$A:$D,4,FALSE)</f>
        <v>0.41789999999999999</v>
      </c>
      <c r="R259" s="37">
        <f>VLOOKUP(Table1[[#This Row],[INSTANT]],[1]dataset_2!$A:$G,5,0)</f>
        <v>1</v>
      </c>
      <c r="S259" s="38">
        <f>VLOOKUP(Table1[[#This Row],[INSTANT]],[1]dataset_2!$A:$G,6,0)</f>
        <v>48</v>
      </c>
      <c r="T259" s="38">
        <f>VLOOKUP(Table1[[#This Row],[INSTANT]],[1]dataset_2!$A:$G,7,0)</f>
        <v>49</v>
      </c>
    </row>
    <row r="260" spans="1:20" ht="13" x14ac:dyDescent="0.15">
      <c r="A260" s="35">
        <v>259</v>
      </c>
      <c r="B260" s="27">
        <v>40555</v>
      </c>
      <c r="C260" s="8" t="str">
        <f t="shared" si="8"/>
        <v>2011</v>
      </c>
      <c r="D260" s="8" t="str">
        <f t="shared" si="9"/>
        <v>12</v>
      </c>
      <c r="E260" s="7">
        <v>1</v>
      </c>
      <c r="F260" s="7">
        <v>0</v>
      </c>
      <c r="G260" s="7">
        <v>1</v>
      </c>
      <c r="H260" s="7">
        <v>5</v>
      </c>
      <c r="I260" s="7" t="b">
        <v>0</v>
      </c>
      <c r="J260" s="22">
        <f>--Table1[[#This Row],[HOLIDAY]]</f>
        <v>0</v>
      </c>
      <c r="K260" s="9">
        <v>3</v>
      </c>
      <c r="L260" s="7">
        <v>1</v>
      </c>
      <c r="M260" s="7">
        <f>LEN(TEXT(Table1[[#This Row],[WEATHER]],"0"))</f>
        <v>1</v>
      </c>
      <c r="N260" s="36">
        <v>0.14000000000000001</v>
      </c>
      <c r="O260" s="37">
        <f>VLOOKUP(Table1[[#This Row],[INSTANT]],[1]dataset_2!$A:$G,2,FALSE)</f>
        <v>0.19700000000000001</v>
      </c>
      <c r="P260" s="37">
        <f>VLOOKUP(Table1[[#This Row],[INSTANT]],[1]dataset_2!$A:$G,3,0)</f>
        <v>0.44</v>
      </c>
      <c r="Q260" s="37">
        <f>VLOOKUP(Table1[[#This Row],[INSTANT]],[1]dataset_2!$A:$D,4,FALSE)</f>
        <v>0.32840000000000003</v>
      </c>
      <c r="R260" s="37">
        <f>VLOOKUP(Table1[[#This Row],[INSTANT]],[1]dataset_2!$A:$G,5,0)</f>
        <v>5</v>
      </c>
      <c r="S260" s="38">
        <f>VLOOKUP(Table1[[#This Row],[INSTANT]],[1]dataset_2!$A:$G,6,0)</f>
        <v>63</v>
      </c>
      <c r="T260" s="38">
        <f>VLOOKUP(Table1[[#This Row],[INSTANT]],[1]dataset_2!$A:$G,7,0)</f>
        <v>68</v>
      </c>
    </row>
    <row r="261" spans="1:20" ht="13" x14ac:dyDescent="0.15">
      <c r="A261" s="35">
        <v>260</v>
      </c>
      <c r="B261" s="27">
        <v>40555</v>
      </c>
      <c r="C261" s="8" t="str">
        <f t="shared" si="8"/>
        <v>2011</v>
      </c>
      <c r="D261" s="8" t="str">
        <f t="shared" si="9"/>
        <v>12</v>
      </c>
      <c r="E261" s="7">
        <v>1</v>
      </c>
      <c r="F261" s="7">
        <v>0</v>
      </c>
      <c r="G261" s="7">
        <v>1</v>
      </c>
      <c r="H261" s="7">
        <v>6</v>
      </c>
      <c r="I261" s="7" t="b">
        <v>0</v>
      </c>
      <c r="J261" s="22">
        <f>--Table1[[#This Row],[HOLIDAY]]</f>
        <v>0</v>
      </c>
      <c r="K261" s="9">
        <v>3</v>
      </c>
      <c r="L261" s="7">
        <v>1</v>
      </c>
      <c r="M261" s="7">
        <f>LEN(TEXT(Table1[[#This Row],[WEATHER]],"0"))</f>
        <v>1</v>
      </c>
      <c r="N261" s="36">
        <v>0.12</v>
      </c>
      <c r="O261" s="37">
        <f>VLOOKUP(Table1[[#This Row],[INSTANT]],[1]dataset_2!$A:$G,2,FALSE)</f>
        <v>0.18179999999999999</v>
      </c>
      <c r="P261" s="37">
        <f>VLOOKUP(Table1[[#This Row],[INSTANT]],[1]dataset_2!$A:$G,3,0)</f>
        <v>0.47</v>
      </c>
      <c r="Q261" s="37">
        <f>VLOOKUP(Table1[[#This Row],[INSTANT]],[1]dataset_2!$A:$D,4,FALSE)</f>
        <v>0.35820000000000002</v>
      </c>
      <c r="R261" s="37">
        <f>VLOOKUP(Table1[[#This Row],[INSTANT]],[1]dataset_2!$A:$G,5,0)</f>
        <v>0</v>
      </c>
      <c r="S261" s="38">
        <f>VLOOKUP(Table1[[#This Row],[INSTANT]],[1]dataset_2!$A:$G,6,0)</f>
        <v>139</v>
      </c>
      <c r="T261" s="38">
        <f>VLOOKUP(Table1[[#This Row],[INSTANT]],[1]dataset_2!$A:$G,7,0)</f>
        <v>139</v>
      </c>
    </row>
    <row r="262" spans="1:20" ht="13" x14ac:dyDescent="0.15">
      <c r="A262" s="35">
        <v>261</v>
      </c>
      <c r="B262" s="27">
        <v>40555</v>
      </c>
      <c r="C262" s="8" t="str">
        <f t="shared" si="8"/>
        <v>2011</v>
      </c>
      <c r="D262" s="8" t="str">
        <f t="shared" si="9"/>
        <v>12</v>
      </c>
      <c r="E262" s="7">
        <v>1</v>
      </c>
      <c r="F262" s="7">
        <v>0</v>
      </c>
      <c r="G262" s="7">
        <v>1</v>
      </c>
      <c r="H262" s="7">
        <v>7</v>
      </c>
      <c r="I262" s="7" t="b">
        <v>0</v>
      </c>
      <c r="J262" s="22">
        <f>--Table1[[#This Row],[HOLIDAY]]</f>
        <v>0</v>
      </c>
      <c r="K262" s="9">
        <v>3</v>
      </c>
      <c r="L262" s="7">
        <v>1</v>
      </c>
      <c r="M262" s="7">
        <f>LEN(TEXT(Table1[[#This Row],[WEATHER]],"0"))</f>
        <v>1</v>
      </c>
      <c r="N262" s="36">
        <v>0.14000000000000001</v>
      </c>
      <c r="O262" s="37">
        <f>VLOOKUP(Table1[[#This Row],[INSTANT]],[1]dataset_2!$A:$G,2,FALSE)</f>
        <v>0.1515</v>
      </c>
      <c r="P262" s="37">
        <f>VLOOKUP(Table1[[#This Row],[INSTANT]],[1]dataset_2!$A:$G,3,0)</f>
        <v>0.47</v>
      </c>
      <c r="Q262" s="37">
        <f>VLOOKUP(Table1[[#This Row],[INSTANT]],[1]dataset_2!$A:$D,4,FALSE)</f>
        <v>0.52239999999999998</v>
      </c>
      <c r="R262" s="37">
        <f>VLOOKUP(Table1[[#This Row],[INSTANT]],[1]dataset_2!$A:$G,5,0)</f>
        <v>2</v>
      </c>
      <c r="S262" s="38">
        <f>VLOOKUP(Table1[[#This Row],[INSTANT]],[1]dataset_2!$A:$G,6,0)</f>
        <v>135</v>
      </c>
      <c r="T262" s="38">
        <f>VLOOKUP(Table1[[#This Row],[INSTANT]],[1]dataset_2!$A:$G,7,0)</f>
        <v>137</v>
      </c>
    </row>
    <row r="263" spans="1:20" ht="13" x14ac:dyDescent="0.15">
      <c r="A263" s="35">
        <v>262</v>
      </c>
      <c r="B263" s="27">
        <v>40555</v>
      </c>
      <c r="C263" s="8" t="str">
        <f t="shared" si="8"/>
        <v>2011</v>
      </c>
      <c r="D263" s="8" t="str">
        <f t="shared" si="9"/>
        <v>12</v>
      </c>
      <c r="E263" s="7">
        <v>1</v>
      </c>
      <c r="F263" s="7">
        <v>0</v>
      </c>
      <c r="G263" s="7">
        <v>1</v>
      </c>
      <c r="H263" s="7">
        <v>8</v>
      </c>
      <c r="I263" s="7" t="b">
        <v>0</v>
      </c>
      <c r="J263" s="22">
        <f>--Table1[[#This Row],[HOLIDAY]]</f>
        <v>0</v>
      </c>
      <c r="K263" s="9">
        <v>3</v>
      </c>
      <c r="L263" s="7">
        <v>1</v>
      </c>
      <c r="M263" s="7">
        <f>LEN(TEXT(Table1[[#This Row],[WEATHER]],"0"))</f>
        <v>1</v>
      </c>
      <c r="N263" s="36">
        <v>0.16</v>
      </c>
      <c r="O263" s="37">
        <f>VLOOKUP(Table1[[#This Row],[INSTANT]],[1]dataset_2!$A:$G,2,FALSE)</f>
        <v>0.1515</v>
      </c>
      <c r="P263" s="37">
        <f>VLOOKUP(Table1[[#This Row],[INSTANT]],[1]dataset_2!$A:$G,3,0)</f>
        <v>0.47</v>
      </c>
      <c r="Q263" s="37">
        <f>VLOOKUP(Table1[[#This Row],[INSTANT]],[1]dataset_2!$A:$D,4,FALSE)</f>
        <v>0.41789999999999999</v>
      </c>
      <c r="R263" s="37">
        <f>VLOOKUP(Table1[[#This Row],[INSTANT]],[1]dataset_2!$A:$G,5,0)</f>
        <v>1</v>
      </c>
      <c r="S263" s="38">
        <f>VLOOKUP(Table1[[#This Row],[INSTANT]],[1]dataset_2!$A:$G,6,0)</f>
        <v>82</v>
      </c>
      <c r="T263" s="38">
        <f>VLOOKUP(Table1[[#This Row],[INSTANT]],[1]dataset_2!$A:$G,7,0)</f>
        <v>83</v>
      </c>
    </row>
    <row r="264" spans="1:20" ht="13" x14ac:dyDescent="0.15">
      <c r="A264" s="35">
        <v>263</v>
      </c>
      <c r="B264" s="27">
        <v>40555</v>
      </c>
      <c r="C264" s="8" t="str">
        <f t="shared" si="8"/>
        <v>2011</v>
      </c>
      <c r="D264" s="8" t="str">
        <f t="shared" si="9"/>
        <v>12</v>
      </c>
      <c r="E264" s="7">
        <v>1</v>
      </c>
      <c r="F264" s="7">
        <v>0</v>
      </c>
      <c r="G264" s="7">
        <v>1</v>
      </c>
      <c r="H264" s="7">
        <v>9</v>
      </c>
      <c r="I264" s="7" t="b">
        <v>0</v>
      </c>
      <c r="J264" s="22">
        <f>--Table1[[#This Row],[HOLIDAY]]</f>
        <v>0</v>
      </c>
      <c r="K264" s="9">
        <v>3</v>
      </c>
      <c r="L264" s="7">
        <v>1</v>
      </c>
      <c r="M264" s="7">
        <f>LEN(TEXT(Table1[[#This Row],[WEATHER]],"0"))</f>
        <v>1</v>
      </c>
      <c r="N264" s="36">
        <v>0.16</v>
      </c>
      <c r="O264" s="37">
        <f>VLOOKUP(Table1[[#This Row],[INSTANT]],[1]dataset_2!$A:$G,2,FALSE)</f>
        <v>0.13639999999999999</v>
      </c>
      <c r="P264" s="37">
        <f>VLOOKUP(Table1[[#This Row],[INSTANT]],[1]dataset_2!$A:$G,3,0)</f>
        <v>0.5</v>
      </c>
      <c r="Q264" s="37">
        <f>VLOOKUP(Table1[[#This Row],[INSTANT]],[1]dataset_2!$A:$D,4,FALSE)</f>
        <v>0.32840000000000003</v>
      </c>
      <c r="R264" s="37">
        <f>VLOOKUP(Table1[[#This Row],[INSTANT]],[1]dataset_2!$A:$G,5,0)</f>
        <v>2</v>
      </c>
      <c r="S264" s="38">
        <f>VLOOKUP(Table1[[#This Row],[INSTANT]],[1]dataset_2!$A:$G,6,0)</f>
        <v>54</v>
      </c>
      <c r="T264" s="38">
        <f>VLOOKUP(Table1[[#This Row],[INSTANT]],[1]dataset_2!$A:$G,7,0)</f>
        <v>56</v>
      </c>
    </row>
    <row r="265" spans="1:20" ht="13" x14ac:dyDescent="0.15">
      <c r="A265" s="35">
        <v>264</v>
      </c>
      <c r="B265" s="27">
        <v>40555</v>
      </c>
      <c r="C265" s="8" t="str">
        <f t="shared" si="8"/>
        <v>2011</v>
      </c>
      <c r="D265" s="8" t="str">
        <f t="shared" si="9"/>
        <v>12</v>
      </c>
      <c r="E265" s="7">
        <v>1</v>
      </c>
      <c r="F265" s="7">
        <v>0</v>
      </c>
      <c r="G265" s="7">
        <v>1</v>
      </c>
      <c r="H265" s="7">
        <v>10</v>
      </c>
      <c r="I265" s="7" t="b">
        <v>0</v>
      </c>
      <c r="J265" s="22">
        <f>--Table1[[#This Row],[HOLIDAY]]</f>
        <v>0</v>
      </c>
      <c r="K265" s="9">
        <v>3</v>
      </c>
      <c r="L265" s="7">
        <v>1</v>
      </c>
      <c r="M265" s="7">
        <f>LEN(TEXT(Table1[[#This Row],[WEATHER]],"0"))</f>
        <v>1</v>
      </c>
      <c r="N265" s="36">
        <v>0.18</v>
      </c>
      <c r="O265" s="37">
        <f>VLOOKUP(Table1[[#This Row],[INSTANT]],[1]dataset_2!$A:$G,2,FALSE)</f>
        <v>0.13639999999999999</v>
      </c>
      <c r="P265" s="37">
        <f>VLOOKUP(Table1[[#This Row],[INSTANT]],[1]dataset_2!$A:$G,3,0)</f>
        <v>0.55000000000000004</v>
      </c>
      <c r="Q265" s="37">
        <f>VLOOKUP(Table1[[#This Row],[INSTANT]],[1]dataset_2!$A:$D,4,FALSE)</f>
        <v>0.32840000000000003</v>
      </c>
      <c r="R265" s="37">
        <f>VLOOKUP(Table1[[#This Row],[INSTANT]],[1]dataset_2!$A:$G,5,0)</f>
        <v>0</v>
      </c>
      <c r="S265" s="38">
        <f>VLOOKUP(Table1[[#This Row],[INSTANT]],[1]dataset_2!$A:$G,6,0)</f>
        <v>57</v>
      </c>
      <c r="T265" s="38">
        <f>VLOOKUP(Table1[[#This Row],[INSTANT]],[1]dataset_2!$A:$G,7,0)</f>
        <v>57</v>
      </c>
    </row>
    <row r="266" spans="1:20" ht="13" x14ac:dyDescent="0.15">
      <c r="A266" s="35">
        <v>265</v>
      </c>
      <c r="B266" s="27">
        <v>40555</v>
      </c>
      <c r="C266" s="8" t="str">
        <f t="shared" si="8"/>
        <v>2011</v>
      </c>
      <c r="D266" s="8" t="str">
        <f t="shared" si="9"/>
        <v>12</v>
      </c>
      <c r="E266" s="7">
        <v>1</v>
      </c>
      <c r="F266" s="7">
        <v>0</v>
      </c>
      <c r="G266" s="7">
        <v>1</v>
      </c>
      <c r="H266" s="7">
        <v>11</v>
      </c>
      <c r="I266" s="7" t="b">
        <v>0</v>
      </c>
      <c r="J266" s="22">
        <f>--Table1[[#This Row],[HOLIDAY]]</f>
        <v>0</v>
      </c>
      <c r="K266" s="9">
        <v>3</v>
      </c>
      <c r="L266" s="7">
        <v>1</v>
      </c>
      <c r="M266" s="7">
        <f>LEN(TEXT(Table1[[#This Row],[WEATHER]],"0"))</f>
        <v>1</v>
      </c>
      <c r="N266" s="36">
        <v>0.2</v>
      </c>
      <c r="O266" s="37">
        <f>VLOOKUP(Table1[[#This Row],[INSTANT]],[1]dataset_2!$A:$G,2,FALSE)</f>
        <v>0.1212</v>
      </c>
      <c r="P266" s="37">
        <f>VLOOKUP(Table1[[#This Row],[INSTANT]],[1]dataset_2!$A:$G,3,0)</f>
        <v>0.55000000000000004</v>
      </c>
      <c r="Q266" s="37">
        <f>VLOOKUP(Table1[[#This Row],[INSTANT]],[1]dataset_2!$A:$D,4,FALSE)</f>
        <v>0.44779999999999998</v>
      </c>
      <c r="R266" s="37">
        <f>VLOOKUP(Table1[[#This Row],[INSTANT]],[1]dataset_2!$A:$G,5,0)</f>
        <v>1</v>
      </c>
      <c r="S266" s="38">
        <f>VLOOKUP(Table1[[#This Row],[INSTANT]],[1]dataset_2!$A:$G,6,0)</f>
        <v>32</v>
      </c>
      <c r="T266" s="38">
        <f>VLOOKUP(Table1[[#This Row],[INSTANT]],[1]dataset_2!$A:$G,7,0)</f>
        <v>33</v>
      </c>
    </row>
    <row r="267" spans="1:20" ht="13" x14ac:dyDescent="0.15">
      <c r="A267" s="35">
        <v>266</v>
      </c>
      <c r="B267" s="27">
        <v>40555</v>
      </c>
      <c r="C267" s="8" t="str">
        <f t="shared" si="8"/>
        <v>2011</v>
      </c>
      <c r="D267" s="8" t="str">
        <f t="shared" si="9"/>
        <v>12</v>
      </c>
      <c r="E267" s="7">
        <v>1</v>
      </c>
      <c r="F267" s="7">
        <v>0</v>
      </c>
      <c r="G267" s="7">
        <v>1</v>
      </c>
      <c r="H267" s="7">
        <v>12</v>
      </c>
      <c r="I267" s="7" t="b">
        <v>0</v>
      </c>
      <c r="J267" s="22">
        <f>--Table1[[#This Row],[HOLIDAY]]</f>
        <v>0</v>
      </c>
      <c r="K267" s="9">
        <v>3</v>
      </c>
      <c r="L267" s="7">
        <v>1</v>
      </c>
      <c r="M267" s="7">
        <f>LEN(TEXT(Table1[[#This Row],[WEATHER]],"0"))</f>
        <v>1</v>
      </c>
      <c r="N267" s="36">
        <v>0.2</v>
      </c>
      <c r="O267" s="37">
        <f>VLOOKUP(Table1[[#This Row],[INSTANT]],[1]dataset_2!$A:$G,2,FALSE)</f>
        <v>0.1061</v>
      </c>
      <c r="P267" s="37">
        <f>VLOOKUP(Table1[[#This Row],[INSTANT]],[1]dataset_2!$A:$G,3,0)</f>
        <v>0.59</v>
      </c>
      <c r="Q267" s="37">
        <f>VLOOKUP(Table1[[#This Row],[INSTANT]],[1]dataset_2!$A:$D,4,FALSE)</f>
        <v>0.41789999999999999</v>
      </c>
      <c r="R267" s="37">
        <f>VLOOKUP(Table1[[#This Row],[INSTANT]],[1]dataset_2!$A:$G,5,0)</f>
        <v>1</v>
      </c>
      <c r="S267" s="38">
        <f>VLOOKUP(Table1[[#This Row],[INSTANT]],[1]dataset_2!$A:$G,6,0)</f>
        <v>19</v>
      </c>
      <c r="T267" s="38">
        <f>VLOOKUP(Table1[[#This Row],[INSTANT]],[1]dataset_2!$A:$G,7,0)</f>
        <v>20</v>
      </c>
    </row>
    <row r="268" spans="1:20" ht="13" x14ac:dyDescent="0.15">
      <c r="A268" s="35">
        <v>267</v>
      </c>
      <c r="B268" s="27">
        <v>40555</v>
      </c>
      <c r="C268" s="8" t="str">
        <f t="shared" si="8"/>
        <v>2011</v>
      </c>
      <c r="D268" s="8" t="str">
        <f t="shared" si="9"/>
        <v>12</v>
      </c>
      <c r="E268" s="7">
        <v>1</v>
      </c>
      <c r="F268" s="7">
        <v>0</v>
      </c>
      <c r="G268" s="7">
        <v>1</v>
      </c>
      <c r="H268" s="7">
        <v>13</v>
      </c>
      <c r="I268" s="7" t="b">
        <v>0</v>
      </c>
      <c r="J268" s="22">
        <f>--Table1[[#This Row],[HOLIDAY]]</f>
        <v>0</v>
      </c>
      <c r="K268" s="9">
        <v>3</v>
      </c>
      <c r="L268" s="7">
        <v>1</v>
      </c>
      <c r="M268" s="7">
        <f>LEN(TEXT(Table1[[#This Row],[WEATHER]],"0"))</f>
        <v>1</v>
      </c>
      <c r="N268" s="36">
        <v>0.22</v>
      </c>
      <c r="O268" s="37">
        <f>VLOOKUP(Table1[[#This Row],[INSTANT]],[1]dataset_2!$A:$G,2,FALSE)</f>
        <v>0.1212</v>
      </c>
      <c r="P268" s="37">
        <f>VLOOKUP(Table1[[#This Row],[INSTANT]],[1]dataset_2!$A:$G,3,0)</f>
        <v>0.59</v>
      </c>
      <c r="Q268" s="37">
        <f>VLOOKUP(Table1[[#This Row],[INSTANT]],[1]dataset_2!$A:$D,4,FALSE)</f>
        <v>0.28360000000000002</v>
      </c>
      <c r="R268" s="37">
        <f>VLOOKUP(Table1[[#This Row],[INSTANT]],[1]dataset_2!$A:$G,5,0)</f>
        <v>1</v>
      </c>
      <c r="S268" s="38">
        <f>VLOOKUP(Table1[[#This Row],[INSTANT]],[1]dataset_2!$A:$G,6,0)</f>
        <v>6</v>
      </c>
      <c r="T268" s="38">
        <f>VLOOKUP(Table1[[#This Row],[INSTANT]],[1]dataset_2!$A:$G,7,0)</f>
        <v>7</v>
      </c>
    </row>
    <row r="269" spans="1:20" ht="13" x14ac:dyDescent="0.15">
      <c r="A269" s="35">
        <v>268</v>
      </c>
      <c r="B269" s="27">
        <v>40555</v>
      </c>
      <c r="C269" s="8" t="str">
        <f t="shared" si="8"/>
        <v>2011</v>
      </c>
      <c r="D269" s="8" t="str">
        <f t="shared" si="9"/>
        <v>12</v>
      </c>
      <c r="E269" s="7">
        <v>1</v>
      </c>
      <c r="F269" s="7">
        <v>0</v>
      </c>
      <c r="G269" s="7">
        <v>1</v>
      </c>
      <c r="H269" s="7">
        <v>14</v>
      </c>
      <c r="I269" s="7" t="b">
        <v>0</v>
      </c>
      <c r="J269" s="22">
        <f>--Table1[[#This Row],[HOLIDAY]]</f>
        <v>0</v>
      </c>
      <c r="K269" s="9">
        <v>3</v>
      </c>
      <c r="L269" s="7">
        <v>1</v>
      </c>
      <c r="M269" s="7">
        <f>LEN(TEXT(Table1[[#This Row],[WEATHER]],"0"))</f>
        <v>1</v>
      </c>
      <c r="N269" s="36">
        <v>0.2</v>
      </c>
      <c r="O269" s="37">
        <f>VLOOKUP(Table1[[#This Row],[INSTANT]],[1]dataset_2!$A:$G,2,FALSE)</f>
        <v>0.1212</v>
      </c>
      <c r="P269" s="37">
        <f>VLOOKUP(Table1[[#This Row],[INSTANT]],[1]dataset_2!$A:$G,3,0)</f>
        <v>0.5</v>
      </c>
      <c r="Q269" s="37">
        <f>VLOOKUP(Table1[[#This Row],[INSTANT]],[1]dataset_2!$A:$D,4,FALSE)</f>
        <v>0.28360000000000002</v>
      </c>
      <c r="R269" s="37">
        <f>VLOOKUP(Table1[[#This Row],[INSTANT]],[1]dataset_2!$A:$G,5,0)</f>
        <v>0</v>
      </c>
      <c r="S269" s="38">
        <f>VLOOKUP(Table1[[#This Row],[INSTANT]],[1]dataset_2!$A:$G,6,0)</f>
        <v>2</v>
      </c>
      <c r="T269" s="38">
        <f>VLOOKUP(Table1[[#This Row],[INSTANT]],[1]dataset_2!$A:$G,7,0)</f>
        <v>2</v>
      </c>
    </row>
    <row r="270" spans="1:20" ht="13" x14ac:dyDescent="0.15">
      <c r="A270" s="35">
        <v>269</v>
      </c>
      <c r="B270" s="27">
        <v>40555</v>
      </c>
      <c r="C270" s="8" t="str">
        <f t="shared" si="8"/>
        <v>2011</v>
      </c>
      <c r="D270" s="8" t="str">
        <f t="shared" si="9"/>
        <v>12</v>
      </c>
      <c r="E270" s="7">
        <v>1</v>
      </c>
      <c r="F270" s="7">
        <v>0</v>
      </c>
      <c r="G270" s="7">
        <v>1</v>
      </c>
      <c r="H270" s="7">
        <v>15</v>
      </c>
      <c r="I270" s="7" t="b">
        <v>0</v>
      </c>
      <c r="J270" s="22">
        <f>--Table1[[#This Row],[HOLIDAY]]</f>
        <v>0</v>
      </c>
      <c r="K270" s="9">
        <v>3</v>
      </c>
      <c r="L270" s="7">
        <v>1</v>
      </c>
      <c r="M270" s="7">
        <f>LEN(TEXT(Table1[[#This Row],[WEATHER]],"0"))</f>
        <v>1</v>
      </c>
      <c r="N270" s="36">
        <v>0.2</v>
      </c>
      <c r="O270" s="37">
        <f>VLOOKUP(Table1[[#This Row],[INSTANT]],[1]dataset_2!$A:$G,2,FALSE)</f>
        <v>0.1212</v>
      </c>
      <c r="P270" s="37">
        <f>VLOOKUP(Table1[[#This Row],[INSTANT]],[1]dataset_2!$A:$G,3,0)</f>
        <v>0.5</v>
      </c>
      <c r="Q270" s="37">
        <f>VLOOKUP(Table1[[#This Row],[INSTANT]],[1]dataset_2!$A:$D,4,FALSE)</f>
        <v>0.35820000000000002</v>
      </c>
      <c r="R270" s="37">
        <f>VLOOKUP(Table1[[#This Row],[INSTANT]],[1]dataset_2!$A:$G,5,0)</f>
        <v>0</v>
      </c>
      <c r="S270" s="38">
        <f>VLOOKUP(Table1[[#This Row],[INSTANT]],[1]dataset_2!$A:$G,6,0)</f>
        <v>2</v>
      </c>
      <c r="T270" s="38">
        <f>VLOOKUP(Table1[[#This Row],[INSTANT]],[1]dataset_2!$A:$G,7,0)</f>
        <v>2</v>
      </c>
    </row>
    <row r="271" spans="1:20" ht="13" x14ac:dyDescent="0.15">
      <c r="A271" s="35">
        <v>270</v>
      </c>
      <c r="B271" s="27">
        <v>40555</v>
      </c>
      <c r="C271" s="8" t="str">
        <f t="shared" si="8"/>
        <v>2011</v>
      </c>
      <c r="D271" s="8" t="str">
        <f t="shared" si="9"/>
        <v>12</v>
      </c>
      <c r="E271" s="7">
        <v>1</v>
      </c>
      <c r="F271" s="7">
        <v>0</v>
      </c>
      <c r="G271" s="7">
        <v>1</v>
      </c>
      <c r="H271" s="7">
        <v>16</v>
      </c>
      <c r="I271" s="7" t="b">
        <v>0</v>
      </c>
      <c r="J271" s="22">
        <f>--Table1[[#This Row],[HOLIDAY]]</f>
        <v>0</v>
      </c>
      <c r="K271" s="9">
        <v>3</v>
      </c>
      <c r="L271" s="7">
        <v>1</v>
      </c>
      <c r="M271" s="7">
        <f>LEN(TEXT(Table1[[#This Row],[WEATHER]],"0"))</f>
        <v>1</v>
      </c>
      <c r="N271" s="36">
        <v>0.22</v>
      </c>
      <c r="O271" s="37">
        <f>VLOOKUP(Table1[[#This Row],[INSTANT]],[1]dataset_2!$A:$G,2,FALSE)</f>
        <v>0.1212</v>
      </c>
      <c r="P271" s="37">
        <f>VLOOKUP(Table1[[#This Row],[INSTANT]],[1]dataset_2!$A:$G,3,0)</f>
        <v>0.5</v>
      </c>
      <c r="Q271" s="37">
        <f>VLOOKUP(Table1[[#This Row],[INSTANT]],[1]dataset_2!$A:$D,4,FALSE)</f>
        <v>0.32840000000000003</v>
      </c>
      <c r="R271" s="37">
        <f>VLOOKUP(Table1[[#This Row],[INSTANT]],[1]dataset_2!$A:$G,5,0)</f>
        <v>0</v>
      </c>
      <c r="S271" s="38">
        <f>VLOOKUP(Table1[[#This Row],[INSTANT]],[1]dataset_2!$A:$G,6,0)</f>
        <v>3</v>
      </c>
      <c r="T271" s="38">
        <f>VLOOKUP(Table1[[#This Row],[INSTANT]],[1]dataset_2!$A:$G,7,0)</f>
        <v>3</v>
      </c>
    </row>
    <row r="272" spans="1:20" ht="13" x14ac:dyDescent="0.15">
      <c r="A272" s="35">
        <v>271</v>
      </c>
      <c r="B272" s="27">
        <v>40555</v>
      </c>
      <c r="C272" s="8" t="str">
        <f t="shared" si="8"/>
        <v>2011</v>
      </c>
      <c r="D272" s="8" t="str">
        <f t="shared" si="9"/>
        <v>12</v>
      </c>
      <c r="E272" s="7">
        <v>1</v>
      </c>
      <c r="F272" s="7">
        <v>0</v>
      </c>
      <c r="G272" s="7">
        <v>1</v>
      </c>
      <c r="H272" s="7">
        <v>17</v>
      </c>
      <c r="I272" s="7" t="b">
        <v>0</v>
      </c>
      <c r="J272" s="22">
        <f>--Table1[[#This Row],[HOLIDAY]]</f>
        <v>0</v>
      </c>
      <c r="K272" s="9">
        <v>3</v>
      </c>
      <c r="L272" s="7">
        <v>1</v>
      </c>
      <c r="M272" s="7">
        <f>LEN(TEXT(Table1[[#This Row],[WEATHER]],"0"))</f>
        <v>1</v>
      </c>
      <c r="N272" s="36">
        <v>0.2</v>
      </c>
      <c r="O272" s="37">
        <f>VLOOKUP(Table1[[#This Row],[INSTANT]],[1]dataset_2!$A:$G,2,FALSE)</f>
        <v>0.1212</v>
      </c>
      <c r="P272" s="37">
        <f>VLOOKUP(Table1[[#This Row],[INSTANT]],[1]dataset_2!$A:$G,3,0)</f>
        <v>0.5</v>
      </c>
      <c r="Q272" s="37">
        <f>VLOOKUP(Table1[[#This Row],[INSTANT]],[1]dataset_2!$A:$D,4,FALSE)</f>
        <v>0.25369999999999998</v>
      </c>
      <c r="R272" s="37">
        <f>VLOOKUP(Table1[[#This Row],[INSTANT]],[1]dataset_2!$A:$G,5,0)</f>
        <v>0</v>
      </c>
      <c r="S272" s="38">
        <f>VLOOKUP(Table1[[#This Row],[INSTANT]],[1]dataset_2!$A:$G,6,0)</f>
        <v>4</v>
      </c>
      <c r="T272" s="38">
        <f>VLOOKUP(Table1[[#This Row],[INSTANT]],[1]dataset_2!$A:$G,7,0)</f>
        <v>4</v>
      </c>
    </row>
    <row r="273" spans="1:20" ht="13" x14ac:dyDescent="0.15">
      <c r="A273" s="35">
        <v>272</v>
      </c>
      <c r="B273" s="27">
        <v>40555</v>
      </c>
      <c r="C273" s="8" t="str">
        <f t="shared" si="8"/>
        <v>2011</v>
      </c>
      <c r="D273" s="8" t="str">
        <f t="shared" si="9"/>
        <v>12</v>
      </c>
      <c r="E273" s="7">
        <v>1</v>
      </c>
      <c r="F273" s="7">
        <v>0</v>
      </c>
      <c r="G273" s="7">
        <v>1</v>
      </c>
      <c r="H273" s="7">
        <v>18</v>
      </c>
      <c r="I273" s="7" t="b">
        <v>0</v>
      </c>
      <c r="J273" s="22">
        <f>--Table1[[#This Row],[HOLIDAY]]</f>
        <v>0</v>
      </c>
      <c r="K273" s="9">
        <v>3</v>
      </c>
      <c r="L273" s="7">
        <v>1</v>
      </c>
      <c r="M273" s="7">
        <f>LEN(TEXT(Table1[[#This Row],[WEATHER]],"0"))</f>
        <v>1</v>
      </c>
      <c r="N273" s="36">
        <v>0.2</v>
      </c>
      <c r="O273" s="37">
        <f>VLOOKUP(Table1[[#This Row],[INSTANT]],[1]dataset_2!$A:$G,2,FALSE)</f>
        <v>0.1212</v>
      </c>
      <c r="P273" s="37">
        <f>VLOOKUP(Table1[[#This Row],[INSTANT]],[1]dataset_2!$A:$G,3,0)</f>
        <v>0.5</v>
      </c>
      <c r="Q273" s="37">
        <f>VLOOKUP(Table1[[#This Row],[INSTANT]],[1]dataset_2!$A:$D,4,FALSE)</f>
        <v>0.29849999999999999</v>
      </c>
      <c r="R273" s="37">
        <f>VLOOKUP(Table1[[#This Row],[INSTANT]],[1]dataset_2!$A:$G,5,0)</f>
        <v>0</v>
      </c>
      <c r="S273" s="38">
        <f>VLOOKUP(Table1[[#This Row],[INSTANT]],[1]dataset_2!$A:$G,6,0)</f>
        <v>3</v>
      </c>
      <c r="T273" s="38">
        <f>VLOOKUP(Table1[[#This Row],[INSTANT]],[1]dataset_2!$A:$G,7,0)</f>
        <v>3</v>
      </c>
    </row>
    <row r="274" spans="1:20" ht="13" x14ac:dyDescent="0.15">
      <c r="A274" s="35">
        <v>273</v>
      </c>
      <c r="B274" s="27">
        <v>40555</v>
      </c>
      <c r="C274" s="8" t="str">
        <f t="shared" si="8"/>
        <v>2011</v>
      </c>
      <c r="D274" s="8" t="str">
        <f t="shared" si="9"/>
        <v>12</v>
      </c>
      <c r="E274" s="7">
        <v>1</v>
      </c>
      <c r="F274" s="7">
        <v>0</v>
      </c>
      <c r="G274" s="7">
        <v>1</v>
      </c>
      <c r="H274" s="7">
        <v>19</v>
      </c>
      <c r="I274" s="7" t="b">
        <v>0</v>
      </c>
      <c r="J274" s="22">
        <f>--Table1[[#This Row],[HOLIDAY]]</f>
        <v>0</v>
      </c>
      <c r="K274" s="9">
        <v>3</v>
      </c>
      <c r="L274" s="7">
        <v>1</v>
      </c>
      <c r="M274" s="7">
        <f>LEN(TEXT(Table1[[#This Row],[WEATHER]],"0"))</f>
        <v>1</v>
      </c>
      <c r="N274" s="36">
        <v>0.18</v>
      </c>
      <c r="O274" s="37">
        <f>VLOOKUP(Table1[[#This Row],[INSTANT]],[1]dataset_2!$A:$G,2,FALSE)</f>
        <v>0.1515</v>
      </c>
      <c r="P274" s="37">
        <f>VLOOKUP(Table1[[#This Row],[INSTANT]],[1]dataset_2!$A:$G,3,0)</f>
        <v>0.54</v>
      </c>
      <c r="Q274" s="37">
        <f>VLOOKUP(Table1[[#This Row],[INSTANT]],[1]dataset_2!$A:$D,4,FALSE)</f>
        <v>0.1343</v>
      </c>
      <c r="R274" s="37">
        <f>VLOOKUP(Table1[[#This Row],[INSTANT]],[1]dataset_2!$A:$G,5,0)</f>
        <v>0</v>
      </c>
      <c r="S274" s="38">
        <f>VLOOKUP(Table1[[#This Row],[INSTANT]],[1]dataset_2!$A:$G,6,0)</f>
        <v>28</v>
      </c>
      <c r="T274" s="38">
        <f>VLOOKUP(Table1[[#This Row],[INSTANT]],[1]dataset_2!$A:$G,7,0)</f>
        <v>28</v>
      </c>
    </row>
    <row r="275" spans="1:20" ht="13" x14ac:dyDescent="0.15">
      <c r="A275" s="35">
        <v>274</v>
      </c>
      <c r="B275" s="27">
        <v>40555</v>
      </c>
      <c r="C275" s="8" t="str">
        <f t="shared" si="8"/>
        <v>2011</v>
      </c>
      <c r="D275" s="8" t="str">
        <f t="shared" si="9"/>
        <v>12</v>
      </c>
      <c r="E275" s="7">
        <v>1</v>
      </c>
      <c r="F275" s="7">
        <v>0</v>
      </c>
      <c r="G275" s="7">
        <v>1</v>
      </c>
      <c r="H275" s="7">
        <v>20</v>
      </c>
      <c r="I275" s="7" t="b">
        <v>0</v>
      </c>
      <c r="J275" s="22">
        <f>--Table1[[#This Row],[HOLIDAY]]</f>
        <v>0</v>
      </c>
      <c r="K275" s="9">
        <v>3</v>
      </c>
      <c r="L275" s="7">
        <v>1</v>
      </c>
      <c r="M275" s="7">
        <f>LEN(TEXT(Table1[[#This Row],[WEATHER]],"0"))</f>
        <v>1</v>
      </c>
      <c r="N275" s="36">
        <v>0.16</v>
      </c>
      <c r="O275" s="37">
        <f>VLOOKUP(Table1[[#This Row],[INSTANT]],[1]dataset_2!$A:$G,2,FALSE)</f>
        <v>0.1515</v>
      </c>
      <c r="P275" s="37">
        <f>VLOOKUP(Table1[[#This Row],[INSTANT]],[1]dataset_2!$A:$G,3,0)</f>
        <v>0.54</v>
      </c>
      <c r="Q275" s="37">
        <f>VLOOKUP(Table1[[#This Row],[INSTANT]],[1]dataset_2!$A:$D,4,FALSE)</f>
        <v>0.1343</v>
      </c>
      <c r="R275" s="37">
        <f>VLOOKUP(Table1[[#This Row],[INSTANT]],[1]dataset_2!$A:$G,5,0)</f>
        <v>0</v>
      </c>
      <c r="S275" s="38">
        <f>VLOOKUP(Table1[[#This Row],[INSTANT]],[1]dataset_2!$A:$G,6,0)</f>
        <v>72</v>
      </c>
      <c r="T275" s="38">
        <f>VLOOKUP(Table1[[#This Row],[INSTANT]],[1]dataset_2!$A:$G,7,0)</f>
        <v>72</v>
      </c>
    </row>
    <row r="276" spans="1:20" ht="13" x14ac:dyDescent="0.15">
      <c r="A276" s="35">
        <v>275</v>
      </c>
      <c r="B276" s="27">
        <v>40555</v>
      </c>
      <c r="C276" s="8" t="str">
        <f t="shared" si="8"/>
        <v>2011</v>
      </c>
      <c r="D276" s="8" t="str">
        <f t="shared" si="9"/>
        <v>12</v>
      </c>
      <c r="E276" s="7">
        <v>1</v>
      </c>
      <c r="F276" s="7">
        <v>0</v>
      </c>
      <c r="G276" s="7">
        <v>1</v>
      </c>
      <c r="H276" s="7">
        <v>21</v>
      </c>
      <c r="I276" s="7" t="b">
        <v>0</v>
      </c>
      <c r="J276" s="22">
        <f>--Table1[[#This Row],[HOLIDAY]]</f>
        <v>0</v>
      </c>
      <c r="K276" s="9">
        <v>3</v>
      </c>
      <c r="L276" s="7">
        <v>1</v>
      </c>
      <c r="M276" s="7">
        <f>LEN(TEXT(Table1[[#This Row],[WEATHER]],"0"))</f>
        <v>1</v>
      </c>
      <c r="N276" s="36">
        <v>0.16</v>
      </c>
      <c r="O276" s="37">
        <f>VLOOKUP(Table1[[#This Row],[INSTANT]],[1]dataset_2!$A:$G,2,FALSE)</f>
        <v>0.13639999999999999</v>
      </c>
      <c r="P276" s="37">
        <f>VLOOKUP(Table1[[#This Row],[INSTANT]],[1]dataset_2!$A:$G,3,0)</f>
        <v>0.5</v>
      </c>
      <c r="Q276" s="37">
        <f>VLOOKUP(Table1[[#This Row],[INSTANT]],[1]dataset_2!$A:$D,4,FALSE)</f>
        <v>0.19400000000000001</v>
      </c>
      <c r="R276" s="37">
        <f>VLOOKUP(Table1[[#This Row],[INSTANT]],[1]dataset_2!$A:$G,5,0)</f>
        <v>5</v>
      </c>
      <c r="S276" s="38">
        <f>VLOOKUP(Table1[[#This Row],[INSTANT]],[1]dataset_2!$A:$G,6,0)</f>
        <v>197</v>
      </c>
      <c r="T276" s="38">
        <f>VLOOKUP(Table1[[#This Row],[INSTANT]],[1]dataset_2!$A:$G,7,0)</f>
        <v>202</v>
      </c>
    </row>
    <row r="277" spans="1:20" ht="13" x14ac:dyDescent="0.15">
      <c r="A277" s="35">
        <v>276</v>
      </c>
      <c r="B277" s="27">
        <v>40555</v>
      </c>
      <c r="C277" s="8" t="str">
        <f t="shared" si="8"/>
        <v>2011</v>
      </c>
      <c r="D277" s="8" t="str">
        <f t="shared" si="9"/>
        <v>12</v>
      </c>
      <c r="E277" s="7">
        <v>1</v>
      </c>
      <c r="F277" s="7">
        <v>0</v>
      </c>
      <c r="G277" s="7">
        <v>1</v>
      </c>
      <c r="H277" s="7">
        <v>22</v>
      </c>
      <c r="I277" s="7" t="b">
        <v>0</v>
      </c>
      <c r="J277" s="22">
        <f>--Table1[[#This Row],[HOLIDAY]]</f>
        <v>0</v>
      </c>
      <c r="K277" s="9">
        <v>3</v>
      </c>
      <c r="L277" s="7">
        <v>1</v>
      </c>
      <c r="M277" s="7">
        <f>LEN(TEXT(Table1[[#This Row],[WEATHER]],"0"))</f>
        <v>1</v>
      </c>
      <c r="N277" s="36">
        <v>0.16</v>
      </c>
      <c r="O277" s="37">
        <f>VLOOKUP(Table1[[#This Row],[INSTANT]],[1]dataset_2!$A:$G,2,FALSE)</f>
        <v>0.1212</v>
      </c>
      <c r="P277" s="37">
        <f>VLOOKUP(Table1[[#This Row],[INSTANT]],[1]dataset_2!$A:$G,3,0)</f>
        <v>0.5</v>
      </c>
      <c r="Q277" s="37">
        <f>VLOOKUP(Table1[[#This Row],[INSTANT]],[1]dataset_2!$A:$D,4,FALSE)</f>
        <v>0.32840000000000003</v>
      </c>
      <c r="R277" s="37">
        <f>VLOOKUP(Table1[[#This Row],[INSTANT]],[1]dataset_2!$A:$G,5,0)</f>
        <v>2</v>
      </c>
      <c r="S277" s="38">
        <f>VLOOKUP(Table1[[#This Row],[INSTANT]],[1]dataset_2!$A:$G,6,0)</f>
        <v>137</v>
      </c>
      <c r="T277" s="38">
        <f>VLOOKUP(Table1[[#This Row],[INSTANT]],[1]dataset_2!$A:$G,7,0)</f>
        <v>139</v>
      </c>
    </row>
    <row r="278" spans="1:20" ht="13" x14ac:dyDescent="0.15">
      <c r="A278" s="35">
        <v>277</v>
      </c>
      <c r="B278" s="27">
        <v>40555</v>
      </c>
      <c r="C278" s="8" t="str">
        <f t="shared" si="8"/>
        <v>2011</v>
      </c>
      <c r="D278" s="8" t="str">
        <f t="shared" si="9"/>
        <v>12</v>
      </c>
      <c r="E278" s="7">
        <v>1</v>
      </c>
      <c r="F278" s="7">
        <v>0</v>
      </c>
      <c r="G278" s="7">
        <v>1</v>
      </c>
      <c r="H278" s="7">
        <v>23</v>
      </c>
      <c r="I278" s="7" t="b">
        <v>0</v>
      </c>
      <c r="J278" s="22">
        <f>--Table1[[#This Row],[HOLIDAY]]</f>
        <v>0</v>
      </c>
      <c r="K278" s="9">
        <v>3</v>
      </c>
      <c r="L278" s="7">
        <v>1</v>
      </c>
      <c r="M278" s="7">
        <f>LEN(TEXT(Table1[[#This Row],[WEATHER]],"0"))</f>
        <v>1</v>
      </c>
      <c r="N278" s="36">
        <v>0.14000000000000001</v>
      </c>
      <c r="O278" s="37">
        <f>VLOOKUP(Table1[[#This Row],[INSTANT]],[1]dataset_2!$A:$G,2,FALSE)</f>
        <v>0.13639999999999999</v>
      </c>
      <c r="P278" s="37">
        <f>VLOOKUP(Table1[[#This Row],[INSTANT]],[1]dataset_2!$A:$G,3,0)</f>
        <v>0.5</v>
      </c>
      <c r="Q278" s="37">
        <f>VLOOKUP(Table1[[#This Row],[INSTANT]],[1]dataset_2!$A:$D,4,FALSE)</f>
        <v>0.35820000000000002</v>
      </c>
      <c r="R278" s="37">
        <f>VLOOKUP(Table1[[#This Row],[INSTANT]],[1]dataset_2!$A:$G,5,0)</f>
        <v>2</v>
      </c>
      <c r="S278" s="38">
        <f>VLOOKUP(Table1[[#This Row],[INSTANT]],[1]dataset_2!$A:$G,6,0)</f>
        <v>36</v>
      </c>
      <c r="T278" s="38">
        <f>VLOOKUP(Table1[[#This Row],[INSTANT]],[1]dataset_2!$A:$G,7,0)</f>
        <v>38</v>
      </c>
    </row>
    <row r="279" spans="1:20" ht="13" x14ac:dyDescent="0.15">
      <c r="A279" s="35">
        <v>278</v>
      </c>
      <c r="B279" s="27">
        <v>40556</v>
      </c>
      <c r="C279" s="8" t="str">
        <f t="shared" si="8"/>
        <v>2011</v>
      </c>
      <c r="D279" s="8" t="str">
        <f t="shared" si="9"/>
        <v>13</v>
      </c>
      <c r="E279" s="7">
        <v>1</v>
      </c>
      <c r="F279" s="7">
        <v>0</v>
      </c>
      <c r="G279" s="7">
        <v>1</v>
      </c>
      <c r="H279" s="7">
        <v>0</v>
      </c>
      <c r="I279" s="7" t="b">
        <v>0</v>
      </c>
      <c r="J279" s="22">
        <f>--Table1[[#This Row],[HOLIDAY]]</f>
        <v>0</v>
      </c>
      <c r="K279" s="9">
        <v>4</v>
      </c>
      <c r="L279" s="7">
        <v>1</v>
      </c>
      <c r="M279" s="7">
        <f>LEN(TEXT(Table1[[#This Row],[WEATHER]],"0"))</f>
        <v>1</v>
      </c>
      <c r="N279" s="36">
        <v>0.14000000000000001</v>
      </c>
      <c r="O279" s="37">
        <f>VLOOKUP(Table1[[#This Row],[INSTANT]],[1]dataset_2!$A:$G,2,FALSE)</f>
        <v>0.16669999999999999</v>
      </c>
      <c r="P279" s="37">
        <f>VLOOKUP(Table1[[#This Row],[INSTANT]],[1]dataset_2!$A:$G,3,0)</f>
        <v>0.44</v>
      </c>
      <c r="Q279" s="37">
        <f>VLOOKUP(Table1[[#This Row],[INSTANT]],[1]dataset_2!$A:$D,4,FALSE)</f>
        <v>0.44779999999999998</v>
      </c>
      <c r="R279" s="37">
        <f>VLOOKUP(Table1[[#This Row],[INSTANT]],[1]dataset_2!$A:$G,5,0)</f>
        <v>4</v>
      </c>
      <c r="S279" s="38">
        <f>VLOOKUP(Table1[[#This Row],[INSTANT]],[1]dataset_2!$A:$G,6,0)</f>
        <v>33</v>
      </c>
      <c r="T279" s="38">
        <f>VLOOKUP(Table1[[#This Row],[INSTANT]],[1]dataset_2!$A:$G,7,0)</f>
        <v>37</v>
      </c>
    </row>
    <row r="280" spans="1:20" ht="13" x14ac:dyDescent="0.15">
      <c r="A280" s="35">
        <v>279</v>
      </c>
      <c r="B280" s="27">
        <v>40556</v>
      </c>
      <c r="C280" s="8" t="str">
        <f t="shared" si="8"/>
        <v>2011</v>
      </c>
      <c r="D280" s="8" t="str">
        <f t="shared" si="9"/>
        <v>13</v>
      </c>
      <c r="E280" s="7">
        <v>1</v>
      </c>
      <c r="F280" s="7">
        <v>0</v>
      </c>
      <c r="G280" s="7">
        <v>1</v>
      </c>
      <c r="H280" s="7">
        <v>1</v>
      </c>
      <c r="I280" s="7" t="b">
        <v>0</v>
      </c>
      <c r="J280" s="22">
        <f>--Table1[[#This Row],[HOLIDAY]]</f>
        <v>0</v>
      </c>
      <c r="K280" s="9">
        <v>4</v>
      </c>
      <c r="L280" s="7">
        <v>1</v>
      </c>
      <c r="M280" s="7">
        <f>LEN(TEXT(Table1[[#This Row],[WEATHER]],"0"))</f>
        <v>1</v>
      </c>
      <c r="N280" s="36">
        <v>0.14000000000000001</v>
      </c>
      <c r="O280" s="37">
        <f>VLOOKUP(Table1[[#This Row],[INSTANT]],[1]dataset_2!$A:$G,2,FALSE)</f>
        <v>0.16669999999999999</v>
      </c>
      <c r="P280" s="37">
        <f>VLOOKUP(Table1[[#This Row],[INSTANT]],[1]dataset_2!$A:$G,3,0)</f>
        <v>0.44</v>
      </c>
      <c r="Q280" s="37">
        <f>VLOOKUP(Table1[[#This Row],[INSTANT]],[1]dataset_2!$A:$D,4,FALSE)</f>
        <v>0.41789999999999999</v>
      </c>
      <c r="R280" s="37">
        <f>VLOOKUP(Table1[[#This Row],[INSTANT]],[1]dataset_2!$A:$G,5,0)</f>
        <v>3</v>
      </c>
      <c r="S280" s="38">
        <f>VLOOKUP(Table1[[#This Row],[INSTANT]],[1]dataset_2!$A:$G,6,0)</f>
        <v>49</v>
      </c>
      <c r="T280" s="38">
        <f>VLOOKUP(Table1[[#This Row],[INSTANT]],[1]dataset_2!$A:$G,7,0)</f>
        <v>52</v>
      </c>
    </row>
    <row r="281" spans="1:20" ht="13" x14ac:dyDescent="0.15">
      <c r="A281" s="35">
        <v>280</v>
      </c>
      <c r="B281" s="27">
        <v>40556</v>
      </c>
      <c r="C281" s="8" t="str">
        <f t="shared" si="8"/>
        <v>2011</v>
      </c>
      <c r="D281" s="8" t="str">
        <f t="shared" si="9"/>
        <v>13</v>
      </c>
      <c r="E281" s="7">
        <v>1</v>
      </c>
      <c r="F281" s="7">
        <v>0</v>
      </c>
      <c r="G281" s="7">
        <v>1</v>
      </c>
      <c r="H281" s="7">
        <v>2</v>
      </c>
      <c r="I281" s="7" t="b">
        <v>0</v>
      </c>
      <c r="J281" s="22">
        <f>--Table1[[#This Row],[HOLIDAY]]</f>
        <v>0</v>
      </c>
      <c r="K281" s="9">
        <v>4</v>
      </c>
      <c r="L281" s="7">
        <v>1</v>
      </c>
      <c r="M281" s="7">
        <f>LEN(TEXT(Table1[[#This Row],[WEATHER]],"0"))</f>
        <v>1</v>
      </c>
      <c r="N281" s="36">
        <v>0.14000000000000001</v>
      </c>
      <c r="O281" s="37">
        <f>VLOOKUP(Table1[[#This Row],[INSTANT]],[1]dataset_2!$A:$G,2,FALSE)</f>
        <v>0.19700000000000001</v>
      </c>
      <c r="P281" s="37">
        <f>VLOOKUP(Table1[[#This Row],[INSTANT]],[1]dataset_2!$A:$G,3,0)</f>
        <v>0.41</v>
      </c>
      <c r="Q281" s="37">
        <f>VLOOKUP(Table1[[#This Row],[INSTANT]],[1]dataset_2!$A:$D,4,FALSE)</f>
        <v>0.44779999999999998</v>
      </c>
      <c r="R281" s="37">
        <f>VLOOKUP(Table1[[#This Row],[INSTANT]],[1]dataset_2!$A:$G,5,0)</f>
        <v>2</v>
      </c>
      <c r="S281" s="38">
        <f>VLOOKUP(Table1[[#This Row],[INSTANT]],[1]dataset_2!$A:$G,6,0)</f>
        <v>81</v>
      </c>
      <c r="T281" s="38">
        <f>VLOOKUP(Table1[[#This Row],[INSTANT]],[1]dataset_2!$A:$G,7,0)</f>
        <v>83</v>
      </c>
    </row>
    <row r="282" spans="1:20" ht="13" x14ac:dyDescent="0.15">
      <c r="A282" s="35">
        <v>281</v>
      </c>
      <c r="B282" s="27">
        <v>40556</v>
      </c>
      <c r="C282" s="8" t="str">
        <f t="shared" si="8"/>
        <v>2011</v>
      </c>
      <c r="D282" s="8" t="str">
        <f t="shared" si="9"/>
        <v>13</v>
      </c>
      <c r="E282" s="7">
        <v>1</v>
      </c>
      <c r="F282" s="7">
        <v>0</v>
      </c>
      <c r="G282" s="7">
        <v>1</v>
      </c>
      <c r="H282" s="7">
        <v>3</v>
      </c>
      <c r="I282" s="7" t="b">
        <v>0</v>
      </c>
      <c r="J282" s="22">
        <f>--Table1[[#This Row],[HOLIDAY]]</f>
        <v>0</v>
      </c>
      <c r="K282" s="9">
        <v>4</v>
      </c>
      <c r="L282" s="7">
        <v>1</v>
      </c>
      <c r="M282" s="7">
        <f>LEN(TEXT(Table1[[#This Row],[WEATHER]],"0"))</f>
        <v>1</v>
      </c>
      <c r="N282" s="36">
        <v>0.14000000000000001</v>
      </c>
      <c r="O282" s="37">
        <f>VLOOKUP(Table1[[#This Row],[INSTANT]],[1]dataset_2!$A:$G,2,FALSE)</f>
        <v>0.19700000000000001</v>
      </c>
      <c r="P282" s="37">
        <f>VLOOKUP(Table1[[#This Row],[INSTANT]],[1]dataset_2!$A:$G,3,0)</f>
        <v>0.41</v>
      </c>
      <c r="Q282" s="37">
        <f>VLOOKUP(Table1[[#This Row],[INSTANT]],[1]dataset_2!$A:$D,4,FALSE)</f>
        <v>0.3881</v>
      </c>
      <c r="R282" s="37">
        <f>VLOOKUP(Table1[[#This Row],[INSTANT]],[1]dataset_2!$A:$G,5,0)</f>
        <v>3</v>
      </c>
      <c r="S282" s="38">
        <f>VLOOKUP(Table1[[#This Row],[INSTANT]],[1]dataset_2!$A:$G,6,0)</f>
        <v>39</v>
      </c>
      <c r="T282" s="38">
        <f>VLOOKUP(Table1[[#This Row],[INSTANT]],[1]dataset_2!$A:$G,7,0)</f>
        <v>42</v>
      </c>
    </row>
    <row r="283" spans="1:20" ht="13" x14ac:dyDescent="0.15">
      <c r="A283" s="35">
        <v>282</v>
      </c>
      <c r="B283" s="27">
        <v>40556</v>
      </c>
      <c r="C283" s="8" t="str">
        <f t="shared" si="8"/>
        <v>2011</v>
      </c>
      <c r="D283" s="8" t="str">
        <f t="shared" si="9"/>
        <v>13</v>
      </c>
      <c r="E283" s="7">
        <v>1</v>
      </c>
      <c r="F283" s="7">
        <v>0</v>
      </c>
      <c r="G283" s="7">
        <v>1</v>
      </c>
      <c r="H283" s="7">
        <v>4</v>
      </c>
      <c r="I283" s="7" t="b">
        <v>0</v>
      </c>
      <c r="J283" s="22">
        <f>--Table1[[#This Row],[HOLIDAY]]</f>
        <v>0</v>
      </c>
      <c r="K283" s="9">
        <v>4</v>
      </c>
      <c r="L283" s="7">
        <v>1</v>
      </c>
      <c r="M283" s="7">
        <f>LEN(TEXT(Table1[[#This Row],[WEATHER]],"0"))</f>
        <v>1</v>
      </c>
      <c r="N283" s="36">
        <v>0.14000000000000001</v>
      </c>
      <c r="O283" s="37">
        <f>VLOOKUP(Table1[[#This Row],[INSTANT]],[1]dataset_2!$A:$G,2,FALSE)</f>
        <v>0.21210000000000001</v>
      </c>
      <c r="P283" s="37">
        <f>VLOOKUP(Table1[[#This Row],[INSTANT]],[1]dataset_2!$A:$G,3,0)</f>
        <v>0.38</v>
      </c>
      <c r="Q283" s="37">
        <f>VLOOKUP(Table1[[#This Row],[INSTANT]],[1]dataset_2!$A:$D,4,FALSE)</f>
        <v>0.29849999999999999</v>
      </c>
      <c r="R283" s="37">
        <f>VLOOKUP(Table1[[#This Row],[INSTANT]],[1]dataset_2!$A:$G,5,0)</f>
        <v>5</v>
      </c>
      <c r="S283" s="38">
        <f>VLOOKUP(Table1[[#This Row],[INSTANT]],[1]dataset_2!$A:$G,6,0)</f>
        <v>55</v>
      </c>
      <c r="T283" s="38">
        <f>VLOOKUP(Table1[[#This Row],[INSTANT]],[1]dataset_2!$A:$G,7,0)</f>
        <v>60</v>
      </c>
    </row>
    <row r="284" spans="1:20" ht="13" x14ac:dyDescent="0.15">
      <c r="A284" s="35">
        <v>283</v>
      </c>
      <c r="B284" s="27">
        <v>40556</v>
      </c>
      <c r="C284" s="8" t="str">
        <f t="shared" si="8"/>
        <v>2011</v>
      </c>
      <c r="D284" s="8" t="str">
        <f t="shared" si="9"/>
        <v>13</v>
      </c>
      <c r="E284" s="7">
        <v>1</v>
      </c>
      <c r="F284" s="7">
        <v>0</v>
      </c>
      <c r="G284" s="7">
        <v>1</v>
      </c>
      <c r="H284" s="7">
        <v>5</v>
      </c>
      <c r="I284" s="7" t="b">
        <v>0</v>
      </c>
      <c r="J284" s="22">
        <f>--Table1[[#This Row],[HOLIDAY]]</f>
        <v>0</v>
      </c>
      <c r="K284" s="9">
        <v>4</v>
      </c>
      <c r="L284" s="7">
        <v>1</v>
      </c>
      <c r="M284" s="7">
        <f>LEN(TEXT(Table1[[#This Row],[WEATHER]],"0"))</f>
        <v>1</v>
      </c>
      <c r="N284" s="36">
        <v>0.14000000000000001</v>
      </c>
      <c r="O284" s="37">
        <f>VLOOKUP(Table1[[#This Row],[INSTANT]],[1]dataset_2!$A:$G,2,FALSE)</f>
        <v>0.21210000000000001</v>
      </c>
      <c r="P284" s="37">
        <f>VLOOKUP(Table1[[#This Row],[INSTANT]],[1]dataset_2!$A:$G,3,0)</f>
        <v>0.38</v>
      </c>
      <c r="Q284" s="37">
        <f>VLOOKUP(Table1[[#This Row],[INSTANT]],[1]dataset_2!$A:$D,4,FALSE)</f>
        <v>0.35820000000000002</v>
      </c>
      <c r="R284" s="37">
        <f>VLOOKUP(Table1[[#This Row],[INSTANT]],[1]dataset_2!$A:$G,5,0)</f>
        <v>2</v>
      </c>
      <c r="S284" s="38">
        <f>VLOOKUP(Table1[[#This Row],[INSTANT]],[1]dataset_2!$A:$G,6,0)</f>
        <v>76</v>
      </c>
      <c r="T284" s="38">
        <f>VLOOKUP(Table1[[#This Row],[INSTANT]],[1]dataset_2!$A:$G,7,0)</f>
        <v>78</v>
      </c>
    </row>
    <row r="285" spans="1:20" ht="13" x14ac:dyDescent="0.15">
      <c r="A285" s="35">
        <v>284</v>
      </c>
      <c r="B285" s="27">
        <v>40556</v>
      </c>
      <c r="C285" s="8" t="str">
        <f t="shared" si="8"/>
        <v>2011</v>
      </c>
      <c r="D285" s="8" t="str">
        <f t="shared" si="9"/>
        <v>13</v>
      </c>
      <c r="E285" s="7">
        <v>1</v>
      </c>
      <c r="F285" s="7">
        <v>0</v>
      </c>
      <c r="G285" s="7">
        <v>1</v>
      </c>
      <c r="H285" s="7">
        <v>6</v>
      </c>
      <c r="I285" s="7" t="b">
        <v>0</v>
      </c>
      <c r="J285" s="22">
        <f>--Table1[[#This Row],[HOLIDAY]]</f>
        <v>0</v>
      </c>
      <c r="K285" s="9">
        <v>4</v>
      </c>
      <c r="L285" s="7">
        <v>1</v>
      </c>
      <c r="M285" s="7">
        <f>LEN(TEXT(Table1[[#This Row],[WEATHER]],"0"))</f>
        <v>1</v>
      </c>
      <c r="N285" s="36">
        <v>0.12</v>
      </c>
      <c r="O285" s="37">
        <f>VLOOKUP(Table1[[#This Row],[INSTANT]],[1]dataset_2!$A:$G,2,FALSE)</f>
        <v>0.18179999999999999</v>
      </c>
      <c r="P285" s="37">
        <f>VLOOKUP(Table1[[#This Row],[INSTANT]],[1]dataset_2!$A:$G,3,0)</f>
        <v>0.4</v>
      </c>
      <c r="Q285" s="37">
        <f>VLOOKUP(Table1[[#This Row],[INSTANT]],[1]dataset_2!$A:$D,4,FALSE)</f>
        <v>0.28360000000000002</v>
      </c>
      <c r="R285" s="37">
        <f>VLOOKUP(Table1[[#This Row],[INSTANT]],[1]dataset_2!$A:$G,5,0)</f>
        <v>4</v>
      </c>
      <c r="S285" s="38">
        <f>VLOOKUP(Table1[[#This Row],[INSTANT]],[1]dataset_2!$A:$G,6,0)</f>
        <v>158</v>
      </c>
      <c r="T285" s="38">
        <f>VLOOKUP(Table1[[#This Row],[INSTANT]],[1]dataset_2!$A:$G,7,0)</f>
        <v>162</v>
      </c>
    </row>
    <row r="286" spans="1:20" ht="13" x14ac:dyDescent="0.15">
      <c r="A286" s="35">
        <v>285</v>
      </c>
      <c r="B286" s="27">
        <v>40556</v>
      </c>
      <c r="C286" s="8" t="str">
        <f t="shared" si="8"/>
        <v>2011</v>
      </c>
      <c r="D286" s="8" t="str">
        <f t="shared" si="9"/>
        <v>13</v>
      </c>
      <c r="E286" s="7">
        <v>1</v>
      </c>
      <c r="F286" s="7">
        <v>0</v>
      </c>
      <c r="G286" s="7">
        <v>1</v>
      </c>
      <c r="H286" s="7">
        <v>7</v>
      </c>
      <c r="I286" s="7" t="b">
        <v>0</v>
      </c>
      <c r="J286" s="22">
        <f>--Table1[[#This Row],[HOLIDAY]]</f>
        <v>0</v>
      </c>
      <c r="K286" s="9">
        <v>4</v>
      </c>
      <c r="L286" s="7">
        <v>1</v>
      </c>
      <c r="M286" s="7">
        <f>LEN(TEXT(Table1[[#This Row],[WEATHER]],"0"))</f>
        <v>1</v>
      </c>
      <c r="N286" s="36">
        <v>0.12</v>
      </c>
      <c r="O286" s="37">
        <f>VLOOKUP(Table1[[#This Row],[INSTANT]],[1]dataset_2!$A:$G,2,FALSE)</f>
        <v>0.18179999999999999</v>
      </c>
      <c r="P286" s="37">
        <f>VLOOKUP(Table1[[#This Row],[INSTANT]],[1]dataset_2!$A:$G,3,0)</f>
        <v>0.4</v>
      </c>
      <c r="Q286" s="37">
        <f>VLOOKUP(Table1[[#This Row],[INSTANT]],[1]dataset_2!$A:$D,4,FALSE)</f>
        <v>0.32840000000000003</v>
      </c>
      <c r="R286" s="37">
        <f>VLOOKUP(Table1[[#This Row],[INSTANT]],[1]dataset_2!$A:$G,5,0)</f>
        <v>3</v>
      </c>
      <c r="S286" s="38">
        <f>VLOOKUP(Table1[[#This Row],[INSTANT]],[1]dataset_2!$A:$G,6,0)</f>
        <v>141</v>
      </c>
      <c r="T286" s="38">
        <f>VLOOKUP(Table1[[#This Row],[INSTANT]],[1]dataset_2!$A:$G,7,0)</f>
        <v>144</v>
      </c>
    </row>
    <row r="287" spans="1:20" ht="13" x14ac:dyDescent="0.15">
      <c r="A287" s="35">
        <v>286</v>
      </c>
      <c r="B287" s="27">
        <v>40556</v>
      </c>
      <c r="C287" s="8" t="str">
        <f t="shared" si="8"/>
        <v>2011</v>
      </c>
      <c r="D287" s="8" t="str">
        <f t="shared" si="9"/>
        <v>13</v>
      </c>
      <c r="E287" s="7">
        <v>1</v>
      </c>
      <c r="F287" s="7">
        <v>0</v>
      </c>
      <c r="G287" s="7">
        <v>1</v>
      </c>
      <c r="H287" s="7">
        <v>8</v>
      </c>
      <c r="I287" s="7" t="b">
        <v>0</v>
      </c>
      <c r="J287" s="22">
        <f>--Table1[[#This Row],[HOLIDAY]]</f>
        <v>0</v>
      </c>
      <c r="K287" s="9">
        <v>4</v>
      </c>
      <c r="L287" s="7">
        <v>1</v>
      </c>
      <c r="M287" s="7">
        <f>LEN(TEXT(Table1[[#This Row],[WEATHER]],"0"))</f>
        <v>1</v>
      </c>
      <c r="N287" s="36">
        <v>0.14000000000000001</v>
      </c>
      <c r="O287" s="37">
        <f>VLOOKUP(Table1[[#This Row],[INSTANT]],[1]dataset_2!$A:$G,2,FALSE)</f>
        <v>0.1515</v>
      </c>
      <c r="P287" s="37">
        <f>VLOOKUP(Table1[[#This Row],[INSTANT]],[1]dataset_2!$A:$G,3,0)</f>
        <v>0.47</v>
      </c>
      <c r="Q287" s="37">
        <f>VLOOKUP(Table1[[#This Row],[INSTANT]],[1]dataset_2!$A:$D,4,FALSE)</f>
        <v>0.25369999999999998</v>
      </c>
      <c r="R287" s="37">
        <f>VLOOKUP(Table1[[#This Row],[INSTANT]],[1]dataset_2!$A:$G,5,0)</f>
        <v>1</v>
      </c>
      <c r="S287" s="38">
        <f>VLOOKUP(Table1[[#This Row],[INSTANT]],[1]dataset_2!$A:$G,6,0)</f>
        <v>98</v>
      </c>
      <c r="T287" s="38">
        <f>VLOOKUP(Table1[[#This Row],[INSTANT]],[1]dataset_2!$A:$G,7,0)</f>
        <v>99</v>
      </c>
    </row>
    <row r="288" spans="1:20" ht="13" x14ac:dyDescent="0.15">
      <c r="A288" s="35">
        <v>287</v>
      </c>
      <c r="B288" s="27">
        <v>40556</v>
      </c>
      <c r="C288" s="8" t="str">
        <f t="shared" si="8"/>
        <v>2011</v>
      </c>
      <c r="D288" s="8" t="str">
        <f t="shared" si="9"/>
        <v>13</v>
      </c>
      <c r="E288" s="7">
        <v>1</v>
      </c>
      <c r="F288" s="7">
        <v>0</v>
      </c>
      <c r="G288" s="7">
        <v>1</v>
      </c>
      <c r="H288" s="7">
        <v>9</v>
      </c>
      <c r="I288" s="7" t="b">
        <v>0</v>
      </c>
      <c r="J288" s="22">
        <f>--Table1[[#This Row],[HOLIDAY]]</f>
        <v>0</v>
      </c>
      <c r="K288" s="9">
        <v>4</v>
      </c>
      <c r="L288" s="7">
        <v>1</v>
      </c>
      <c r="M288" s="7">
        <f>LEN(TEXT(Table1[[#This Row],[WEATHER]],"0"))</f>
        <v>1</v>
      </c>
      <c r="N288" s="36">
        <v>0.14000000000000001</v>
      </c>
      <c r="O288" s="37">
        <f>VLOOKUP(Table1[[#This Row],[INSTANT]],[1]dataset_2!$A:$G,2,FALSE)</f>
        <v>0.1515</v>
      </c>
      <c r="P288" s="37">
        <f>VLOOKUP(Table1[[#This Row],[INSTANT]],[1]dataset_2!$A:$G,3,0)</f>
        <v>0.47</v>
      </c>
      <c r="Q288" s="37">
        <f>VLOOKUP(Table1[[#This Row],[INSTANT]],[1]dataset_2!$A:$D,4,FALSE)</f>
        <v>0.22389999999999999</v>
      </c>
      <c r="R288" s="37">
        <f>VLOOKUP(Table1[[#This Row],[INSTANT]],[1]dataset_2!$A:$G,5,0)</f>
        <v>0</v>
      </c>
      <c r="S288" s="38">
        <f>VLOOKUP(Table1[[#This Row],[INSTANT]],[1]dataset_2!$A:$G,6,0)</f>
        <v>64</v>
      </c>
      <c r="T288" s="38">
        <f>VLOOKUP(Table1[[#This Row],[INSTANT]],[1]dataset_2!$A:$G,7,0)</f>
        <v>64</v>
      </c>
    </row>
    <row r="289" spans="1:20" ht="13" x14ac:dyDescent="0.15">
      <c r="A289" s="35">
        <v>288</v>
      </c>
      <c r="B289" s="27">
        <v>40556</v>
      </c>
      <c r="C289" s="8" t="str">
        <f t="shared" si="8"/>
        <v>2011</v>
      </c>
      <c r="D289" s="8" t="str">
        <f t="shared" si="9"/>
        <v>13</v>
      </c>
      <c r="E289" s="7">
        <v>1</v>
      </c>
      <c r="F289" s="7">
        <v>0</v>
      </c>
      <c r="G289" s="7">
        <v>1</v>
      </c>
      <c r="H289" s="7">
        <v>10</v>
      </c>
      <c r="I289" s="7" t="b">
        <v>0</v>
      </c>
      <c r="J289" s="22">
        <f>--Table1[[#This Row],[HOLIDAY]]</f>
        <v>0</v>
      </c>
      <c r="K289" s="9">
        <v>4</v>
      </c>
      <c r="L289" s="7">
        <v>2</v>
      </c>
      <c r="M289" s="7">
        <f>LEN(TEXT(Table1[[#This Row],[WEATHER]],"0"))</f>
        <v>1</v>
      </c>
      <c r="N289" s="36">
        <v>0.16</v>
      </c>
      <c r="O289" s="37">
        <f>VLOOKUP(Table1[[#This Row],[INSTANT]],[1]dataset_2!$A:$G,2,FALSE)</f>
        <v>0.1212</v>
      </c>
      <c r="P289" s="37">
        <f>VLOOKUP(Table1[[#This Row],[INSTANT]],[1]dataset_2!$A:$G,3,0)</f>
        <v>0.46</v>
      </c>
      <c r="Q289" s="37">
        <f>VLOOKUP(Table1[[#This Row],[INSTANT]],[1]dataset_2!$A:$D,4,FALSE)</f>
        <v>0.29849999999999999</v>
      </c>
      <c r="R289" s="37">
        <f>VLOOKUP(Table1[[#This Row],[INSTANT]],[1]dataset_2!$A:$G,5,0)</f>
        <v>0</v>
      </c>
      <c r="S289" s="38">
        <f>VLOOKUP(Table1[[#This Row],[INSTANT]],[1]dataset_2!$A:$G,6,0)</f>
        <v>40</v>
      </c>
      <c r="T289" s="38">
        <f>VLOOKUP(Table1[[#This Row],[INSTANT]],[1]dataset_2!$A:$G,7,0)</f>
        <v>40</v>
      </c>
    </row>
    <row r="290" spans="1:20" ht="13" x14ac:dyDescent="0.15">
      <c r="A290" s="35">
        <v>289</v>
      </c>
      <c r="B290" s="27">
        <v>40556</v>
      </c>
      <c r="C290" s="8" t="str">
        <f t="shared" si="8"/>
        <v>2011</v>
      </c>
      <c r="D290" s="8" t="str">
        <f t="shared" si="9"/>
        <v>13</v>
      </c>
      <c r="E290" s="7">
        <v>1</v>
      </c>
      <c r="F290" s="7">
        <v>0</v>
      </c>
      <c r="G290" s="7">
        <v>1</v>
      </c>
      <c r="H290" s="7">
        <v>11</v>
      </c>
      <c r="I290" s="7" t="b">
        <v>0</v>
      </c>
      <c r="J290" s="22">
        <f>--Table1[[#This Row],[HOLIDAY]]</f>
        <v>0</v>
      </c>
      <c r="K290" s="9">
        <v>4</v>
      </c>
      <c r="L290" s="7">
        <v>2</v>
      </c>
      <c r="M290" s="7">
        <f>LEN(TEXT(Table1[[#This Row],[WEATHER]],"0"))</f>
        <v>1</v>
      </c>
      <c r="N290" s="36">
        <v>0.2</v>
      </c>
      <c r="O290" s="37">
        <f>VLOOKUP(Table1[[#This Row],[INSTANT]],[1]dataset_2!$A:$G,2,FALSE)</f>
        <v>0.1212</v>
      </c>
      <c r="P290" s="37">
        <f>VLOOKUP(Table1[[#This Row],[INSTANT]],[1]dataset_2!$A:$G,3,0)</f>
        <v>0.46</v>
      </c>
      <c r="Q290" s="37">
        <f>VLOOKUP(Table1[[#This Row],[INSTANT]],[1]dataset_2!$A:$D,4,FALSE)</f>
        <v>0.32840000000000003</v>
      </c>
      <c r="R290" s="37">
        <f>VLOOKUP(Table1[[#This Row],[INSTANT]],[1]dataset_2!$A:$G,5,0)</f>
        <v>0</v>
      </c>
      <c r="S290" s="38">
        <f>VLOOKUP(Table1[[#This Row],[INSTANT]],[1]dataset_2!$A:$G,6,0)</f>
        <v>30</v>
      </c>
      <c r="T290" s="38">
        <f>VLOOKUP(Table1[[#This Row],[INSTANT]],[1]dataset_2!$A:$G,7,0)</f>
        <v>30</v>
      </c>
    </row>
    <row r="291" spans="1:20" ht="13" x14ac:dyDescent="0.15">
      <c r="A291" s="35">
        <v>290</v>
      </c>
      <c r="B291" s="27">
        <v>40556</v>
      </c>
      <c r="C291" s="8" t="str">
        <f t="shared" si="8"/>
        <v>2011</v>
      </c>
      <c r="D291" s="8" t="str">
        <f t="shared" si="9"/>
        <v>13</v>
      </c>
      <c r="E291" s="7">
        <v>1</v>
      </c>
      <c r="F291" s="7">
        <v>0</v>
      </c>
      <c r="G291" s="7">
        <v>1</v>
      </c>
      <c r="H291" s="7">
        <v>12</v>
      </c>
      <c r="I291" s="7" t="b">
        <v>0</v>
      </c>
      <c r="J291" s="22">
        <f>--Table1[[#This Row],[HOLIDAY]]</f>
        <v>0</v>
      </c>
      <c r="K291" s="9">
        <v>4</v>
      </c>
      <c r="L291" s="7">
        <v>1</v>
      </c>
      <c r="M291" s="7">
        <f>LEN(TEXT(Table1[[#This Row],[WEATHER]],"0"))</f>
        <v>1</v>
      </c>
      <c r="N291" s="36">
        <v>0.2</v>
      </c>
      <c r="O291" s="37">
        <f>VLOOKUP(Table1[[#This Row],[INSTANT]],[1]dataset_2!$A:$G,2,FALSE)</f>
        <v>0.13639999999999999</v>
      </c>
      <c r="P291" s="37">
        <f>VLOOKUP(Table1[[#This Row],[INSTANT]],[1]dataset_2!$A:$G,3,0)</f>
        <v>0.5</v>
      </c>
      <c r="Q291" s="37">
        <f>VLOOKUP(Table1[[#This Row],[INSTANT]],[1]dataset_2!$A:$D,4,FALSE)</f>
        <v>0.19400000000000001</v>
      </c>
      <c r="R291" s="37">
        <f>VLOOKUP(Table1[[#This Row],[INSTANT]],[1]dataset_2!$A:$G,5,0)</f>
        <v>1</v>
      </c>
      <c r="S291" s="38">
        <f>VLOOKUP(Table1[[#This Row],[INSTANT]],[1]dataset_2!$A:$G,6,0)</f>
        <v>14</v>
      </c>
      <c r="T291" s="38">
        <f>VLOOKUP(Table1[[#This Row],[INSTANT]],[1]dataset_2!$A:$G,7,0)</f>
        <v>15</v>
      </c>
    </row>
    <row r="292" spans="1:20" ht="13" x14ac:dyDescent="0.15">
      <c r="A292" s="35">
        <v>291</v>
      </c>
      <c r="B292" s="27">
        <v>40556</v>
      </c>
      <c r="C292" s="8" t="str">
        <f t="shared" si="8"/>
        <v>2011</v>
      </c>
      <c r="D292" s="8" t="str">
        <f t="shared" si="9"/>
        <v>13</v>
      </c>
      <c r="E292" s="7">
        <v>1</v>
      </c>
      <c r="F292" s="7">
        <v>0</v>
      </c>
      <c r="G292" s="7">
        <v>1</v>
      </c>
      <c r="H292" s="7">
        <v>13</v>
      </c>
      <c r="I292" s="7" t="b">
        <v>0</v>
      </c>
      <c r="J292" s="22">
        <f>--Table1[[#This Row],[HOLIDAY]]</f>
        <v>0</v>
      </c>
      <c r="K292" s="9">
        <v>4</v>
      </c>
      <c r="L292" s="7">
        <v>1</v>
      </c>
      <c r="M292" s="7">
        <f>LEN(TEXT(Table1[[#This Row],[WEATHER]],"0"))</f>
        <v>1</v>
      </c>
      <c r="N292" s="36">
        <v>0.22</v>
      </c>
      <c r="O292" s="37">
        <f>VLOOKUP(Table1[[#This Row],[INSTANT]],[1]dataset_2!$A:$G,2,FALSE)</f>
        <v>0.13639999999999999</v>
      </c>
      <c r="P292" s="37">
        <f>VLOOKUP(Table1[[#This Row],[INSTANT]],[1]dataset_2!$A:$G,3,0)</f>
        <v>0.5</v>
      </c>
      <c r="Q292" s="37">
        <f>VLOOKUP(Table1[[#This Row],[INSTANT]],[1]dataset_2!$A:$D,4,FALSE)</f>
        <v>0.19400000000000001</v>
      </c>
      <c r="R292" s="37">
        <f>VLOOKUP(Table1[[#This Row],[INSTANT]],[1]dataset_2!$A:$G,5,0)</f>
        <v>0</v>
      </c>
      <c r="S292" s="38">
        <f>VLOOKUP(Table1[[#This Row],[INSTANT]],[1]dataset_2!$A:$G,6,0)</f>
        <v>14</v>
      </c>
      <c r="T292" s="38">
        <f>VLOOKUP(Table1[[#This Row],[INSTANT]],[1]dataset_2!$A:$G,7,0)</f>
        <v>14</v>
      </c>
    </row>
    <row r="293" spans="1:20" ht="13" x14ac:dyDescent="0.15">
      <c r="A293" s="35">
        <v>292</v>
      </c>
      <c r="B293" s="27">
        <v>40556</v>
      </c>
      <c r="C293" s="8" t="str">
        <f t="shared" si="8"/>
        <v>2011</v>
      </c>
      <c r="D293" s="8" t="str">
        <f t="shared" si="9"/>
        <v>13</v>
      </c>
      <c r="E293" s="7">
        <v>1</v>
      </c>
      <c r="F293" s="7">
        <v>0</v>
      </c>
      <c r="G293" s="7">
        <v>1</v>
      </c>
      <c r="H293" s="7">
        <v>14</v>
      </c>
      <c r="I293" s="7" t="b">
        <v>0</v>
      </c>
      <c r="J293" s="22">
        <f>--Table1[[#This Row],[HOLIDAY]]</f>
        <v>0</v>
      </c>
      <c r="K293" s="9">
        <v>4</v>
      </c>
      <c r="L293" s="7">
        <v>1</v>
      </c>
      <c r="M293" s="7">
        <f>LEN(TEXT(Table1[[#This Row],[WEATHER]],"0"))</f>
        <v>1</v>
      </c>
      <c r="N293" s="36">
        <v>0.22</v>
      </c>
      <c r="O293" s="37">
        <f>VLOOKUP(Table1[[#This Row],[INSTANT]],[1]dataset_2!$A:$G,2,FALSE)</f>
        <v>0.1212</v>
      </c>
      <c r="P293" s="37">
        <f>VLOOKUP(Table1[[#This Row],[INSTANT]],[1]dataset_2!$A:$G,3,0)</f>
        <v>0.54</v>
      </c>
      <c r="Q293" s="37">
        <f>VLOOKUP(Table1[[#This Row],[INSTANT]],[1]dataset_2!$A:$D,4,FALSE)</f>
        <v>0.16420000000000001</v>
      </c>
      <c r="R293" s="37">
        <f>VLOOKUP(Table1[[#This Row],[INSTANT]],[1]dataset_2!$A:$G,5,0)</f>
        <v>0</v>
      </c>
      <c r="S293" s="38">
        <f>VLOOKUP(Table1[[#This Row],[INSTANT]],[1]dataset_2!$A:$G,6,0)</f>
        <v>5</v>
      </c>
      <c r="T293" s="38">
        <f>VLOOKUP(Table1[[#This Row],[INSTANT]],[1]dataset_2!$A:$G,7,0)</f>
        <v>5</v>
      </c>
    </row>
    <row r="294" spans="1:20" ht="13" x14ac:dyDescent="0.15">
      <c r="A294" s="35">
        <v>293</v>
      </c>
      <c r="B294" s="27">
        <v>40556</v>
      </c>
      <c r="C294" s="8" t="str">
        <f t="shared" si="8"/>
        <v>2011</v>
      </c>
      <c r="D294" s="8" t="str">
        <f t="shared" si="9"/>
        <v>13</v>
      </c>
      <c r="E294" s="7">
        <v>1</v>
      </c>
      <c r="F294" s="7">
        <v>0</v>
      </c>
      <c r="G294" s="7">
        <v>1</v>
      </c>
      <c r="H294" s="7">
        <v>15</v>
      </c>
      <c r="I294" s="7" t="b">
        <v>0</v>
      </c>
      <c r="J294" s="22">
        <f>--Table1[[#This Row],[HOLIDAY]]</f>
        <v>0</v>
      </c>
      <c r="K294" s="9">
        <v>4</v>
      </c>
      <c r="L294" s="7">
        <v>1</v>
      </c>
      <c r="M294" s="7">
        <f>LEN(TEXT(Table1[[#This Row],[WEATHER]],"0"))</f>
        <v>1</v>
      </c>
      <c r="N294" s="36">
        <v>0.24</v>
      </c>
      <c r="O294" s="37">
        <f>VLOOKUP(Table1[[#This Row],[INSTANT]],[1]dataset_2!$A:$G,2,FALSE)</f>
        <v>0.1212</v>
      </c>
      <c r="P294" s="37">
        <f>VLOOKUP(Table1[[#This Row],[INSTANT]],[1]dataset_2!$A:$G,3,0)</f>
        <v>0.54</v>
      </c>
      <c r="Q294" s="37">
        <f>VLOOKUP(Table1[[#This Row],[INSTANT]],[1]dataset_2!$A:$D,4,FALSE)</f>
        <v>0.1343</v>
      </c>
      <c r="R294" s="37">
        <f>VLOOKUP(Table1[[#This Row],[INSTANT]],[1]dataset_2!$A:$G,5,0)</f>
        <v>0</v>
      </c>
      <c r="S294" s="38">
        <f>VLOOKUP(Table1[[#This Row],[INSTANT]],[1]dataset_2!$A:$G,6,0)</f>
        <v>1</v>
      </c>
      <c r="T294" s="38">
        <f>VLOOKUP(Table1[[#This Row],[INSTANT]],[1]dataset_2!$A:$G,7,0)</f>
        <v>1</v>
      </c>
    </row>
    <row r="295" spans="1:20" ht="13" x14ac:dyDescent="0.15">
      <c r="A295" s="35">
        <v>294</v>
      </c>
      <c r="B295" s="27">
        <v>40556</v>
      </c>
      <c r="C295" s="8" t="str">
        <f t="shared" si="8"/>
        <v>2011</v>
      </c>
      <c r="D295" s="8" t="str">
        <f t="shared" si="9"/>
        <v>13</v>
      </c>
      <c r="E295" s="7">
        <v>1</v>
      </c>
      <c r="F295" s="7">
        <v>0</v>
      </c>
      <c r="G295" s="7">
        <v>1</v>
      </c>
      <c r="H295" s="7">
        <v>16</v>
      </c>
      <c r="I295" s="7" t="b">
        <v>0</v>
      </c>
      <c r="J295" s="22">
        <f>--Table1[[#This Row],[HOLIDAY]]</f>
        <v>0</v>
      </c>
      <c r="K295" s="9">
        <v>4</v>
      </c>
      <c r="L295" s="7">
        <v>1</v>
      </c>
      <c r="M295" s="7">
        <f>LEN(TEXT(Table1[[#This Row],[WEATHER]],"0"))</f>
        <v>1</v>
      </c>
      <c r="N295" s="36">
        <v>0.24</v>
      </c>
      <c r="O295" s="37">
        <f>VLOOKUP(Table1[[#This Row],[INSTANT]],[1]dataset_2!$A:$G,2,FALSE)</f>
        <v>0.13639999999999999</v>
      </c>
      <c r="P295" s="37">
        <f>VLOOKUP(Table1[[#This Row],[INSTANT]],[1]dataset_2!$A:$G,3,0)</f>
        <v>0.54</v>
      </c>
      <c r="Q295" s="37">
        <f>VLOOKUP(Table1[[#This Row],[INSTANT]],[1]dataset_2!$A:$D,4,FALSE)</f>
        <v>0.1045</v>
      </c>
      <c r="R295" s="37">
        <f>VLOOKUP(Table1[[#This Row],[INSTANT]],[1]dataset_2!$A:$G,5,0)</f>
        <v>0</v>
      </c>
      <c r="S295" s="38">
        <f>VLOOKUP(Table1[[#This Row],[INSTANT]],[1]dataset_2!$A:$G,6,0)</f>
        <v>1</v>
      </c>
      <c r="T295" s="38">
        <f>VLOOKUP(Table1[[#This Row],[INSTANT]],[1]dataset_2!$A:$G,7,0)</f>
        <v>1</v>
      </c>
    </row>
    <row r="296" spans="1:20" ht="13" x14ac:dyDescent="0.15">
      <c r="A296" s="35">
        <v>295</v>
      </c>
      <c r="B296" s="27">
        <v>40556</v>
      </c>
      <c r="C296" s="8" t="str">
        <f t="shared" si="8"/>
        <v>2011</v>
      </c>
      <c r="D296" s="8" t="str">
        <f t="shared" si="9"/>
        <v>13</v>
      </c>
      <c r="E296" s="7">
        <v>1</v>
      </c>
      <c r="F296" s="7">
        <v>0</v>
      </c>
      <c r="G296" s="7">
        <v>1</v>
      </c>
      <c r="H296" s="7">
        <v>17</v>
      </c>
      <c r="I296" s="7" t="b">
        <v>0</v>
      </c>
      <c r="J296" s="22">
        <f>--Table1[[#This Row],[HOLIDAY]]</f>
        <v>0</v>
      </c>
      <c r="K296" s="9">
        <v>4</v>
      </c>
      <c r="L296" s="7">
        <v>1</v>
      </c>
      <c r="M296" s="7">
        <f>LEN(TEXT(Table1[[#This Row],[WEATHER]],"0"))</f>
        <v>1</v>
      </c>
      <c r="N296" s="36">
        <v>0.2</v>
      </c>
      <c r="O296" s="37">
        <f>VLOOKUP(Table1[[#This Row],[INSTANT]],[1]dataset_2!$A:$G,2,FALSE)</f>
        <v>0.13639999999999999</v>
      </c>
      <c r="P296" s="37">
        <f>VLOOKUP(Table1[[#This Row],[INSTANT]],[1]dataset_2!$A:$G,3,0)</f>
        <v>0.54</v>
      </c>
      <c r="Q296" s="37">
        <f>VLOOKUP(Table1[[#This Row],[INSTANT]],[1]dataset_2!$A:$D,4,FALSE)</f>
        <v>8.9599999999999999E-2</v>
      </c>
      <c r="R296" s="37">
        <f>VLOOKUP(Table1[[#This Row],[INSTANT]],[1]dataset_2!$A:$G,5,0)</f>
        <v>0</v>
      </c>
      <c r="S296" s="38">
        <f>VLOOKUP(Table1[[#This Row],[INSTANT]],[1]dataset_2!$A:$G,6,0)</f>
        <v>8</v>
      </c>
      <c r="T296" s="38">
        <f>VLOOKUP(Table1[[#This Row],[INSTANT]],[1]dataset_2!$A:$G,7,0)</f>
        <v>8</v>
      </c>
    </row>
    <row r="297" spans="1:20" ht="13" x14ac:dyDescent="0.15">
      <c r="A297" s="35">
        <v>296</v>
      </c>
      <c r="B297" s="27">
        <v>40556</v>
      </c>
      <c r="C297" s="8" t="str">
        <f t="shared" si="8"/>
        <v>2011</v>
      </c>
      <c r="D297" s="8" t="str">
        <f t="shared" si="9"/>
        <v>13</v>
      </c>
      <c r="E297" s="7">
        <v>1</v>
      </c>
      <c r="F297" s="7">
        <v>0</v>
      </c>
      <c r="G297" s="7">
        <v>1</v>
      </c>
      <c r="H297" s="7">
        <v>18</v>
      </c>
      <c r="I297" s="7" t="b">
        <v>0</v>
      </c>
      <c r="J297" s="22">
        <f>--Table1[[#This Row],[HOLIDAY]]</f>
        <v>0</v>
      </c>
      <c r="K297" s="9">
        <v>4</v>
      </c>
      <c r="L297" s="7">
        <v>1</v>
      </c>
      <c r="M297" s="7">
        <f>LEN(TEXT(Table1[[#This Row],[WEATHER]],"0"))</f>
        <v>1</v>
      </c>
      <c r="N297" s="36">
        <v>0.2</v>
      </c>
      <c r="O297" s="37">
        <f>VLOOKUP(Table1[[#This Row],[INSTANT]],[1]dataset_2!$A:$G,2,FALSE)</f>
        <v>0.18179999999999999</v>
      </c>
      <c r="P297" s="37">
        <f>VLOOKUP(Table1[[#This Row],[INSTANT]],[1]dataset_2!$A:$G,3,0)</f>
        <v>0.54</v>
      </c>
      <c r="Q297" s="37">
        <f>VLOOKUP(Table1[[#This Row],[INSTANT]],[1]dataset_2!$A:$D,4,FALSE)</f>
        <v>0</v>
      </c>
      <c r="R297" s="37">
        <f>VLOOKUP(Table1[[#This Row],[INSTANT]],[1]dataset_2!$A:$G,5,0)</f>
        <v>0</v>
      </c>
      <c r="S297" s="38">
        <f>VLOOKUP(Table1[[#This Row],[INSTANT]],[1]dataset_2!$A:$G,6,0)</f>
        <v>17</v>
      </c>
      <c r="T297" s="38">
        <f>VLOOKUP(Table1[[#This Row],[INSTANT]],[1]dataset_2!$A:$G,7,0)</f>
        <v>17</v>
      </c>
    </row>
    <row r="298" spans="1:20" ht="13" x14ac:dyDescent="0.15">
      <c r="A298" s="35">
        <v>297</v>
      </c>
      <c r="B298" s="27">
        <v>40556</v>
      </c>
      <c r="C298" s="8" t="str">
        <f t="shared" si="8"/>
        <v>2011</v>
      </c>
      <c r="D298" s="8" t="str">
        <f t="shared" si="9"/>
        <v>13</v>
      </c>
      <c r="E298" s="7">
        <v>1</v>
      </c>
      <c r="F298" s="7">
        <v>0</v>
      </c>
      <c r="G298" s="7">
        <v>1</v>
      </c>
      <c r="H298" s="7">
        <v>19</v>
      </c>
      <c r="I298" s="7" t="b">
        <v>0</v>
      </c>
      <c r="J298" s="22">
        <f>--Table1[[#This Row],[HOLIDAY]]</f>
        <v>0</v>
      </c>
      <c r="K298" s="9">
        <v>4</v>
      </c>
      <c r="L298" s="7">
        <v>1</v>
      </c>
      <c r="M298" s="7">
        <f>LEN(TEXT(Table1[[#This Row],[WEATHER]],"0"))</f>
        <v>1</v>
      </c>
      <c r="N298" s="36">
        <v>0.16</v>
      </c>
      <c r="O298" s="37">
        <f>VLOOKUP(Table1[[#This Row],[INSTANT]],[1]dataset_2!$A:$G,2,FALSE)</f>
        <v>0.1212</v>
      </c>
      <c r="P298" s="37">
        <f>VLOOKUP(Table1[[#This Row],[INSTANT]],[1]dataset_2!$A:$G,3,0)</f>
        <v>0.74</v>
      </c>
      <c r="Q298" s="37">
        <f>VLOOKUP(Table1[[#This Row],[INSTANT]],[1]dataset_2!$A:$D,4,FALSE)</f>
        <v>0.16420000000000001</v>
      </c>
      <c r="R298" s="37">
        <f>VLOOKUP(Table1[[#This Row],[INSTANT]],[1]dataset_2!$A:$G,5,0)</f>
        <v>0</v>
      </c>
      <c r="S298" s="38">
        <f>VLOOKUP(Table1[[#This Row],[INSTANT]],[1]dataset_2!$A:$G,6,0)</f>
        <v>70</v>
      </c>
      <c r="T298" s="38">
        <f>VLOOKUP(Table1[[#This Row],[INSTANT]],[1]dataset_2!$A:$G,7,0)</f>
        <v>70</v>
      </c>
    </row>
    <row r="299" spans="1:20" ht="13" x14ac:dyDescent="0.15">
      <c r="A299" s="35">
        <v>298</v>
      </c>
      <c r="B299" s="27">
        <v>40556</v>
      </c>
      <c r="C299" s="8" t="str">
        <f t="shared" si="8"/>
        <v>2011</v>
      </c>
      <c r="D299" s="8" t="str">
        <f t="shared" si="9"/>
        <v>13</v>
      </c>
      <c r="E299" s="7">
        <v>1</v>
      </c>
      <c r="F299" s="7">
        <v>0</v>
      </c>
      <c r="G299" s="7">
        <v>1</v>
      </c>
      <c r="H299" s="7">
        <v>20</v>
      </c>
      <c r="I299" s="7" t="b">
        <v>0</v>
      </c>
      <c r="J299" s="22">
        <f>--Table1[[#This Row],[HOLIDAY]]</f>
        <v>0</v>
      </c>
      <c r="K299" s="9">
        <v>4</v>
      </c>
      <c r="L299" s="7">
        <v>1</v>
      </c>
      <c r="M299" s="7">
        <f>LEN(TEXT(Table1[[#This Row],[WEATHER]],"0"))</f>
        <v>1</v>
      </c>
      <c r="N299" s="36">
        <v>0.16</v>
      </c>
      <c r="O299" s="37">
        <f>VLOOKUP(Table1[[#This Row],[INSTANT]],[1]dataset_2!$A:$G,2,FALSE)</f>
        <v>0.16669999999999999</v>
      </c>
      <c r="P299" s="37">
        <f>VLOOKUP(Table1[[#This Row],[INSTANT]],[1]dataset_2!$A:$G,3,0)</f>
        <v>0.68</v>
      </c>
      <c r="Q299" s="37">
        <f>VLOOKUP(Table1[[#This Row],[INSTANT]],[1]dataset_2!$A:$D,4,FALSE)</f>
        <v>0</v>
      </c>
      <c r="R299" s="37">
        <f>VLOOKUP(Table1[[#This Row],[INSTANT]],[1]dataset_2!$A:$G,5,0)</f>
        <v>2</v>
      </c>
      <c r="S299" s="38">
        <f>VLOOKUP(Table1[[#This Row],[INSTANT]],[1]dataset_2!$A:$G,6,0)</f>
        <v>156</v>
      </c>
      <c r="T299" s="38">
        <f>VLOOKUP(Table1[[#This Row],[INSTANT]],[1]dataset_2!$A:$G,7,0)</f>
        <v>158</v>
      </c>
    </row>
    <row r="300" spans="1:20" ht="13" x14ac:dyDescent="0.15">
      <c r="A300" s="35">
        <v>299</v>
      </c>
      <c r="B300" s="27">
        <v>40556</v>
      </c>
      <c r="C300" s="8" t="str">
        <f t="shared" si="8"/>
        <v>2011</v>
      </c>
      <c r="D300" s="8" t="str">
        <f t="shared" si="9"/>
        <v>13</v>
      </c>
      <c r="E300" s="7">
        <v>1</v>
      </c>
      <c r="F300" s="7">
        <v>0</v>
      </c>
      <c r="G300" s="7">
        <v>1</v>
      </c>
      <c r="H300" s="7">
        <v>21</v>
      </c>
      <c r="I300" s="7" t="b">
        <v>0</v>
      </c>
      <c r="J300" s="22">
        <f>--Table1[[#This Row],[HOLIDAY]]</f>
        <v>0</v>
      </c>
      <c r="K300" s="9">
        <v>4</v>
      </c>
      <c r="L300" s="7">
        <v>1</v>
      </c>
      <c r="M300" s="7">
        <f>LEN(TEXT(Table1[[#This Row],[WEATHER]],"0"))</f>
        <v>1</v>
      </c>
      <c r="N300" s="36">
        <v>0.14000000000000001</v>
      </c>
      <c r="O300" s="37">
        <f>VLOOKUP(Table1[[#This Row],[INSTANT]],[1]dataset_2!$A:$G,2,FALSE)</f>
        <v>0.1515</v>
      </c>
      <c r="P300" s="37">
        <f>VLOOKUP(Table1[[#This Row],[INSTANT]],[1]dataset_2!$A:$G,3,0)</f>
        <v>0.69</v>
      </c>
      <c r="Q300" s="37">
        <f>VLOOKUP(Table1[[#This Row],[INSTANT]],[1]dataset_2!$A:$D,4,FALSE)</f>
        <v>0.1343</v>
      </c>
      <c r="R300" s="37">
        <f>VLOOKUP(Table1[[#This Row],[INSTANT]],[1]dataset_2!$A:$G,5,0)</f>
        <v>0</v>
      </c>
      <c r="S300" s="38">
        <f>VLOOKUP(Table1[[#This Row],[INSTANT]],[1]dataset_2!$A:$G,6,0)</f>
        <v>117</v>
      </c>
      <c r="T300" s="38">
        <f>VLOOKUP(Table1[[#This Row],[INSTANT]],[1]dataset_2!$A:$G,7,0)</f>
        <v>117</v>
      </c>
    </row>
    <row r="301" spans="1:20" ht="13" x14ac:dyDescent="0.15">
      <c r="A301" s="35">
        <v>300</v>
      </c>
      <c r="B301" s="27">
        <v>40556</v>
      </c>
      <c r="C301" s="8" t="str">
        <f t="shared" si="8"/>
        <v>2011</v>
      </c>
      <c r="D301" s="8" t="str">
        <f t="shared" si="9"/>
        <v>13</v>
      </c>
      <c r="E301" s="7">
        <v>1</v>
      </c>
      <c r="F301" s="7">
        <v>0</v>
      </c>
      <c r="G301" s="7">
        <v>1</v>
      </c>
      <c r="H301" s="7">
        <v>22</v>
      </c>
      <c r="I301" s="7" t="b">
        <v>0</v>
      </c>
      <c r="J301" s="22">
        <f>--Table1[[#This Row],[HOLIDAY]]</f>
        <v>0</v>
      </c>
      <c r="K301" s="9">
        <v>4</v>
      </c>
      <c r="L301" s="7">
        <v>1</v>
      </c>
      <c r="M301" s="7">
        <f>LEN(TEXT(Table1[[#This Row],[WEATHER]],"0"))</f>
        <v>1</v>
      </c>
      <c r="N301" s="36">
        <v>0.14000000000000001</v>
      </c>
      <c r="O301" s="37">
        <f>VLOOKUP(Table1[[#This Row],[INSTANT]],[1]dataset_2!$A:$G,2,FALSE)</f>
        <v>0.18179999999999999</v>
      </c>
      <c r="P301" s="37">
        <f>VLOOKUP(Table1[[#This Row],[INSTANT]],[1]dataset_2!$A:$G,3,0)</f>
        <v>0.55000000000000004</v>
      </c>
      <c r="Q301" s="37">
        <f>VLOOKUP(Table1[[#This Row],[INSTANT]],[1]dataset_2!$A:$D,4,FALSE)</f>
        <v>0.19400000000000001</v>
      </c>
      <c r="R301" s="37">
        <f>VLOOKUP(Table1[[#This Row],[INSTANT]],[1]dataset_2!$A:$G,5,0)</f>
        <v>4</v>
      </c>
      <c r="S301" s="38">
        <f>VLOOKUP(Table1[[#This Row],[INSTANT]],[1]dataset_2!$A:$G,6,0)</f>
        <v>40</v>
      </c>
      <c r="T301" s="38">
        <f>VLOOKUP(Table1[[#This Row],[INSTANT]],[1]dataset_2!$A:$G,7,0)</f>
        <v>44</v>
      </c>
    </row>
    <row r="302" spans="1:20" ht="13" x14ac:dyDescent="0.15">
      <c r="A302" s="35">
        <v>301</v>
      </c>
      <c r="B302" s="27">
        <v>40556</v>
      </c>
      <c r="C302" s="8" t="str">
        <f t="shared" si="8"/>
        <v>2011</v>
      </c>
      <c r="D302" s="8" t="str">
        <f t="shared" si="9"/>
        <v>13</v>
      </c>
      <c r="E302" s="7">
        <v>1</v>
      </c>
      <c r="F302" s="7">
        <v>0</v>
      </c>
      <c r="G302" s="7">
        <v>1</v>
      </c>
      <c r="H302" s="7">
        <v>23</v>
      </c>
      <c r="I302" s="7" t="b">
        <v>0</v>
      </c>
      <c r="J302" s="22">
        <f>--Table1[[#This Row],[HOLIDAY]]</f>
        <v>0</v>
      </c>
      <c r="K302" s="9">
        <v>4</v>
      </c>
      <c r="L302" s="7">
        <v>1</v>
      </c>
      <c r="M302" s="7">
        <f>LEN(TEXT(Table1[[#This Row],[WEATHER]],"0"))</f>
        <v>1</v>
      </c>
      <c r="N302" s="36">
        <v>0.12</v>
      </c>
      <c r="O302" s="37">
        <f>VLOOKUP(Table1[[#This Row],[INSTANT]],[1]dataset_2!$A:$G,2,FALSE)</f>
        <v>0.16669999999999999</v>
      </c>
      <c r="P302" s="37">
        <f>VLOOKUP(Table1[[#This Row],[INSTANT]],[1]dataset_2!$A:$G,3,0)</f>
        <v>0.51</v>
      </c>
      <c r="Q302" s="37">
        <f>VLOOKUP(Table1[[#This Row],[INSTANT]],[1]dataset_2!$A:$D,4,FALSE)</f>
        <v>0.28360000000000002</v>
      </c>
      <c r="R302" s="37">
        <f>VLOOKUP(Table1[[#This Row],[INSTANT]],[1]dataset_2!$A:$G,5,0)</f>
        <v>6</v>
      </c>
      <c r="S302" s="38">
        <f>VLOOKUP(Table1[[#This Row],[INSTANT]],[1]dataset_2!$A:$G,6,0)</f>
        <v>47</v>
      </c>
      <c r="T302" s="38">
        <f>VLOOKUP(Table1[[#This Row],[INSTANT]],[1]dataset_2!$A:$G,7,0)</f>
        <v>53</v>
      </c>
    </row>
    <row r="303" spans="1:20" ht="13" x14ac:dyDescent="0.15">
      <c r="A303" s="35">
        <v>302</v>
      </c>
      <c r="B303" s="27">
        <v>40557</v>
      </c>
      <c r="C303" s="8" t="str">
        <f t="shared" si="8"/>
        <v>2011</v>
      </c>
      <c r="D303" s="8" t="str">
        <f t="shared" si="9"/>
        <v>14</v>
      </c>
      <c r="E303" s="7">
        <v>1</v>
      </c>
      <c r="F303" s="7">
        <v>0</v>
      </c>
      <c r="G303" s="7">
        <v>1</v>
      </c>
      <c r="H303" s="7">
        <v>0</v>
      </c>
      <c r="I303" s="7" t="b">
        <v>0</v>
      </c>
      <c r="J303" s="22">
        <f>--Table1[[#This Row],[HOLIDAY]]</f>
        <v>0</v>
      </c>
      <c r="K303" s="9">
        <v>5</v>
      </c>
      <c r="L303" s="7">
        <v>1</v>
      </c>
      <c r="M303" s="7">
        <f>LEN(TEXT(Table1[[#This Row],[WEATHER]],"0"))</f>
        <v>1</v>
      </c>
      <c r="N303" s="36">
        <v>0.12</v>
      </c>
      <c r="O303" s="37">
        <f>VLOOKUP(Table1[[#This Row],[INSTANT]],[1]dataset_2!$A:$G,2,FALSE)</f>
        <v>0.19700000000000001</v>
      </c>
      <c r="P303" s="37">
        <f>VLOOKUP(Table1[[#This Row],[INSTANT]],[1]dataset_2!$A:$G,3,0)</f>
        <v>0.44</v>
      </c>
      <c r="Q303" s="37">
        <f>VLOOKUP(Table1[[#This Row],[INSTANT]],[1]dataset_2!$A:$D,4,FALSE)</f>
        <v>0.25369999999999998</v>
      </c>
      <c r="R303" s="37">
        <f>VLOOKUP(Table1[[#This Row],[INSTANT]],[1]dataset_2!$A:$G,5,0)</f>
        <v>2</v>
      </c>
      <c r="S303" s="38">
        <f>VLOOKUP(Table1[[#This Row],[INSTANT]],[1]dataset_2!$A:$G,6,0)</f>
        <v>59</v>
      </c>
      <c r="T303" s="38">
        <f>VLOOKUP(Table1[[#This Row],[INSTANT]],[1]dataset_2!$A:$G,7,0)</f>
        <v>61</v>
      </c>
    </row>
    <row r="304" spans="1:20" ht="13" x14ac:dyDescent="0.15">
      <c r="A304" s="35">
        <v>303</v>
      </c>
      <c r="B304" s="27">
        <v>40557</v>
      </c>
      <c r="C304" s="8" t="str">
        <f t="shared" si="8"/>
        <v>2011</v>
      </c>
      <c r="D304" s="8" t="str">
        <f t="shared" si="9"/>
        <v>14</v>
      </c>
      <c r="E304" s="7">
        <v>1</v>
      </c>
      <c r="F304" s="7">
        <v>0</v>
      </c>
      <c r="G304" s="7">
        <v>1</v>
      </c>
      <c r="H304" s="7">
        <v>1</v>
      </c>
      <c r="I304" s="7" t="b">
        <v>0</v>
      </c>
      <c r="J304" s="22">
        <f>--Table1[[#This Row],[HOLIDAY]]</f>
        <v>0</v>
      </c>
      <c r="K304" s="9">
        <v>5</v>
      </c>
      <c r="L304" s="7">
        <v>1</v>
      </c>
      <c r="M304" s="7">
        <f>LEN(TEXT(Table1[[#This Row],[WEATHER]],"0"))</f>
        <v>1</v>
      </c>
      <c r="N304" s="36">
        <v>0.1</v>
      </c>
      <c r="O304" s="37">
        <f>VLOOKUP(Table1[[#This Row],[INSTANT]],[1]dataset_2!$A:$G,2,FALSE)</f>
        <v>0.19700000000000001</v>
      </c>
      <c r="P304" s="37">
        <f>VLOOKUP(Table1[[#This Row],[INSTANT]],[1]dataset_2!$A:$G,3,0)</f>
        <v>0.37</v>
      </c>
      <c r="Q304" s="37">
        <f>VLOOKUP(Table1[[#This Row],[INSTANT]],[1]dataset_2!$A:$D,4,FALSE)</f>
        <v>0.3881</v>
      </c>
      <c r="R304" s="37">
        <f>VLOOKUP(Table1[[#This Row],[INSTANT]],[1]dataset_2!$A:$G,5,0)</f>
        <v>4</v>
      </c>
      <c r="S304" s="38">
        <f>VLOOKUP(Table1[[#This Row],[INSTANT]],[1]dataset_2!$A:$G,6,0)</f>
        <v>73</v>
      </c>
      <c r="T304" s="38">
        <f>VLOOKUP(Table1[[#This Row],[INSTANT]],[1]dataset_2!$A:$G,7,0)</f>
        <v>77</v>
      </c>
    </row>
    <row r="305" spans="1:20" ht="13" x14ac:dyDescent="0.15">
      <c r="A305" s="35">
        <v>304</v>
      </c>
      <c r="B305" s="27">
        <v>40557</v>
      </c>
      <c r="C305" s="8" t="str">
        <f t="shared" si="8"/>
        <v>2011</v>
      </c>
      <c r="D305" s="8" t="str">
        <f t="shared" si="9"/>
        <v>14</v>
      </c>
      <c r="E305" s="7">
        <v>1</v>
      </c>
      <c r="F305" s="7">
        <v>0</v>
      </c>
      <c r="G305" s="7">
        <v>1</v>
      </c>
      <c r="H305" s="7">
        <v>2</v>
      </c>
      <c r="I305" s="7" t="b">
        <v>0</v>
      </c>
      <c r="J305" s="22">
        <f>--Table1[[#This Row],[HOLIDAY]]</f>
        <v>0</v>
      </c>
      <c r="K305" s="9">
        <v>5</v>
      </c>
      <c r="L305" s="7">
        <v>1</v>
      </c>
      <c r="M305" s="7">
        <f>LEN(TEXT(Table1[[#This Row],[WEATHER]],"0"))</f>
        <v>1</v>
      </c>
      <c r="N305" s="36">
        <v>0.1</v>
      </c>
      <c r="O305" s="37">
        <f>VLOOKUP(Table1[[#This Row],[INSTANT]],[1]dataset_2!$A:$G,2,FALSE)</f>
        <v>0.21210000000000001</v>
      </c>
      <c r="P305" s="37">
        <f>VLOOKUP(Table1[[#This Row],[INSTANT]],[1]dataset_2!$A:$G,3,0)</f>
        <v>0.41</v>
      </c>
      <c r="Q305" s="37">
        <f>VLOOKUP(Table1[[#This Row],[INSTANT]],[1]dataset_2!$A:$D,4,FALSE)</f>
        <v>0.28360000000000002</v>
      </c>
      <c r="R305" s="37">
        <f>VLOOKUP(Table1[[#This Row],[INSTANT]],[1]dataset_2!$A:$G,5,0)</f>
        <v>5</v>
      </c>
      <c r="S305" s="38">
        <f>VLOOKUP(Table1[[#This Row],[INSTANT]],[1]dataset_2!$A:$G,6,0)</f>
        <v>59</v>
      </c>
      <c r="T305" s="38">
        <f>VLOOKUP(Table1[[#This Row],[INSTANT]],[1]dataset_2!$A:$G,7,0)</f>
        <v>64</v>
      </c>
    </row>
    <row r="306" spans="1:20" ht="13" x14ac:dyDescent="0.15">
      <c r="A306" s="35">
        <v>305</v>
      </c>
      <c r="B306" s="27">
        <v>40557</v>
      </c>
      <c r="C306" s="8" t="str">
        <f t="shared" si="8"/>
        <v>2011</v>
      </c>
      <c r="D306" s="8" t="str">
        <f t="shared" si="9"/>
        <v>14</v>
      </c>
      <c r="E306" s="7">
        <v>1</v>
      </c>
      <c r="F306" s="7">
        <v>0</v>
      </c>
      <c r="G306" s="7">
        <v>1</v>
      </c>
      <c r="H306" s="7">
        <v>3</v>
      </c>
      <c r="I306" s="7" t="b">
        <v>0</v>
      </c>
      <c r="J306" s="22">
        <f>--Table1[[#This Row],[HOLIDAY]]</f>
        <v>0</v>
      </c>
      <c r="K306" s="9">
        <v>5</v>
      </c>
      <c r="L306" s="7">
        <v>1</v>
      </c>
      <c r="M306" s="7">
        <f>LEN(TEXT(Table1[[#This Row],[WEATHER]],"0"))</f>
        <v>1</v>
      </c>
      <c r="N306" s="36">
        <v>0.1</v>
      </c>
      <c r="O306" s="37">
        <f>VLOOKUP(Table1[[#This Row],[INSTANT]],[1]dataset_2!$A:$G,2,FALSE)</f>
        <v>0.2424</v>
      </c>
      <c r="P306" s="37">
        <f>VLOOKUP(Table1[[#This Row],[INSTANT]],[1]dataset_2!$A:$G,3,0)</f>
        <v>0.38</v>
      </c>
      <c r="Q306" s="37">
        <f>VLOOKUP(Table1[[#This Row],[INSTANT]],[1]dataset_2!$A:$D,4,FALSE)</f>
        <v>0.16420000000000001</v>
      </c>
      <c r="R306" s="37">
        <f>VLOOKUP(Table1[[#This Row],[INSTANT]],[1]dataset_2!$A:$G,5,0)</f>
        <v>9</v>
      </c>
      <c r="S306" s="38">
        <f>VLOOKUP(Table1[[#This Row],[INSTANT]],[1]dataset_2!$A:$G,6,0)</f>
        <v>59</v>
      </c>
      <c r="T306" s="38">
        <f>VLOOKUP(Table1[[#This Row],[INSTANT]],[1]dataset_2!$A:$G,7,0)</f>
        <v>68</v>
      </c>
    </row>
    <row r="307" spans="1:20" ht="13" x14ac:dyDescent="0.15">
      <c r="A307" s="35">
        <v>306</v>
      </c>
      <c r="B307" s="27">
        <v>40557</v>
      </c>
      <c r="C307" s="8" t="str">
        <f t="shared" si="8"/>
        <v>2011</v>
      </c>
      <c r="D307" s="8" t="str">
        <f t="shared" si="9"/>
        <v>14</v>
      </c>
      <c r="E307" s="7">
        <v>1</v>
      </c>
      <c r="F307" s="7">
        <v>0</v>
      </c>
      <c r="G307" s="7">
        <v>1</v>
      </c>
      <c r="H307" s="7">
        <v>5</v>
      </c>
      <c r="I307" s="7" t="b">
        <v>0</v>
      </c>
      <c r="J307" s="22">
        <f>--Table1[[#This Row],[HOLIDAY]]</f>
        <v>0</v>
      </c>
      <c r="K307" s="9">
        <v>5</v>
      </c>
      <c r="L307" s="7">
        <v>1</v>
      </c>
      <c r="M307" s="7">
        <f>LEN(TEXT(Table1[[#This Row],[WEATHER]],"0"))</f>
        <v>1</v>
      </c>
      <c r="N307" s="36">
        <v>0.1</v>
      </c>
      <c r="O307" s="37">
        <f>VLOOKUP(Table1[[#This Row],[INSTANT]],[1]dataset_2!$A:$G,2,FALSE)</f>
        <v>0.2424</v>
      </c>
      <c r="P307" s="37">
        <f>VLOOKUP(Table1[[#This Row],[INSTANT]],[1]dataset_2!$A:$G,3,0)</f>
        <v>0.41</v>
      </c>
      <c r="Q307" s="37">
        <f>VLOOKUP(Table1[[#This Row],[INSTANT]],[1]dataset_2!$A:$D,4,FALSE)</f>
        <v>0.1045</v>
      </c>
      <c r="R307" s="37">
        <f>VLOOKUP(Table1[[#This Row],[INSTANT]],[1]dataset_2!$A:$G,5,0)</f>
        <v>3</v>
      </c>
      <c r="S307" s="38">
        <f>VLOOKUP(Table1[[#This Row],[INSTANT]],[1]dataset_2!$A:$G,6,0)</f>
        <v>87</v>
      </c>
      <c r="T307" s="38">
        <f>VLOOKUP(Table1[[#This Row],[INSTANT]],[1]dataset_2!$A:$G,7,0)</f>
        <v>90</v>
      </c>
    </row>
    <row r="308" spans="1:20" ht="13" x14ac:dyDescent="0.15">
      <c r="A308" s="35">
        <v>307</v>
      </c>
      <c r="B308" s="27">
        <v>40557</v>
      </c>
      <c r="C308" s="8" t="str">
        <f t="shared" si="8"/>
        <v>2011</v>
      </c>
      <c r="D308" s="8" t="str">
        <f t="shared" si="9"/>
        <v>14</v>
      </c>
      <c r="E308" s="7">
        <v>1</v>
      </c>
      <c r="F308" s="7">
        <v>0</v>
      </c>
      <c r="G308" s="7">
        <v>1</v>
      </c>
      <c r="H308" s="7">
        <v>6</v>
      </c>
      <c r="I308" s="7" t="b">
        <v>0</v>
      </c>
      <c r="J308" s="22">
        <f>--Table1[[#This Row],[HOLIDAY]]</f>
        <v>0</v>
      </c>
      <c r="K308" s="9">
        <v>5</v>
      </c>
      <c r="L308" s="7">
        <v>1</v>
      </c>
      <c r="M308" s="7">
        <f>LEN(TEXT(Table1[[#This Row],[WEATHER]],"0"))</f>
        <v>1</v>
      </c>
      <c r="N308" s="36">
        <v>0.1</v>
      </c>
      <c r="O308" s="37">
        <f>VLOOKUP(Table1[[#This Row],[INSTANT]],[1]dataset_2!$A:$G,2,FALSE)</f>
        <v>0.2273</v>
      </c>
      <c r="P308" s="37">
        <f>VLOOKUP(Table1[[#This Row],[INSTANT]],[1]dataset_2!$A:$G,3,0)</f>
        <v>0.41</v>
      </c>
      <c r="Q308" s="37">
        <f>VLOOKUP(Table1[[#This Row],[INSTANT]],[1]dataset_2!$A:$D,4,FALSE)</f>
        <v>0.16420000000000001</v>
      </c>
      <c r="R308" s="37">
        <f>VLOOKUP(Table1[[#This Row],[INSTANT]],[1]dataset_2!$A:$G,5,0)</f>
        <v>4</v>
      </c>
      <c r="S308" s="38">
        <f>VLOOKUP(Table1[[#This Row],[INSTANT]],[1]dataset_2!$A:$G,6,0)</f>
        <v>155</v>
      </c>
      <c r="T308" s="38">
        <f>VLOOKUP(Table1[[#This Row],[INSTANT]],[1]dataset_2!$A:$G,7,0)</f>
        <v>159</v>
      </c>
    </row>
    <row r="309" spans="1:20" ht="13" x14ac:dyDescent="0.15">
      <c r="A309" s="35">
        <v>308</v>
      </c>
      <c r="B309" s="27">
        <v>40557</v>
      </c>
      <c r="C309" s="8" t="str">
        <f t="shared" si="8"/>
        <v>2011</v>
      </c>
      <c r="D309" s="8" t="str">
        <f t="shared" si="9"/>
        <v>14</v>
      </c>
      <c r="E309" s="7">
        <v>1</v>
      </c>
      <c r="F309" s="7">
        <v>0</v>
      </c>
      <c r="G309" s="7">
        <v>1</v>
      </c>
      <c r="H309" s="7">
        <v>7</v>
      </c>
      <c r="I309" s="7" t="b">
        <v>0</v>
      </c>
      <c r="J309" s="22">
        <f>--Table1[[#This Row],[HOLIDAY]]</f>
        <v>0</v>
      </c>
      <c r="K309" s="9">
        <v>5</v>
      </c>
      <c r="L309" s="7">
        <v>1</v>
      </c>
      <c r="M309" s="7">
        <f>LEN(TEXT(Table1[[#This Row],[WEATHER]],"0"))</f>
        <v>1</v>
      </c>
      <c r="N309" s="36">
        <v>0.1</v>
      </c>
      <c r="O309" s="37">
        <f>VLOOKUP(Table1[[#This Row],[INSTANT]],[1]dataset_2!$A:$G,2,FALSE)</f>
        <v>0.2576</v>
      </c>
      <c r="P309" s="37">
        <f>VLOOKUP(Table1[[#This Row],[INSTANT]],[1]dataset_2!$A:$G,3,0)</f>
        <v>0.47</v>
      </c>
      <c r="Q309" s="37">
        <f>VLOOKUP(Table1[[#This Row],[INSTANT]],[1]dataset_2!$A:$D,4,FALSE)</f>
        <v>0</v>
      </c>
      <c r="R309" s="37">
        <f>VLOOKUP(Table1[[#This Row],[INSTANT]],[1]dataset_2!$A:$G,5,0)</f>
        <v>5</v>
      </c>
      <c r="S309" s="38">
        <f>VLOOKUP(Table1[[#This Row],[INSTANT]],[1]dataset_2!$A:$G,6,0)</f>
        <v>134</v>
      </c>
      <c r="T309" s="38">
        <f>VLOOKUP(Table1[[#This Row],[INSTANT]],[1]dataset_2!$A:$G,7,0)</f>
        <v>139</v>
      </c>
    </row>
    <row r="310" spans="1:20" ht="13" x14ac:dyDescent="0.15">
      <c r="A310" s="35">
        <v>309</v>
      </c>
      <c r="B310" s="27">
        <v>40557</v>
      </c>
      <c r="C310" s="8" t="str">
        <f t="shared" si="8"/>
        <v>2011</v>
      </c>
      <c r="D310" s="8" t="str">
        <f t="shared" si="9"/>
        <v>14</v>
      </c>
      <c r="E310" s="7">
        <v>1</v>
      </c>
      <c r="F310" s="7">
        <v>0</v>
      </c>
      <c r="G310" s="7">
        <v>1</v>
      </c>
      <c r="H310" s="7">
        <v>8</v>
      </c>
      <c r="I310" s="7" t="b">
        <v>0</v>
      </c>
      <c r="J310" s="22">
        <f>--Table1[[#This Row],[HOLIDAY]]</f>
        <v>0</v>
      </c>
      <c r="K310" s="9">
        <v>5</v>
      </c>
      <c r="L310" s="7">
        <v>1</v>
      </c>
      <c r="M310" s="7">
        <f>LEN(TEXT(Table1[[#This Row],[WEATHER]],"0"))</f>
        <v>1</v>
      </c>
      <c r="N310" s="36">
        <v>0.12</v>
      </c>
      <c r="O310" s="37">
        <f>VLOOKUP(Table1[[#This Row],[INSTANT]],[1]dataset_2!$A:$G,2,FALSE)</f>
        <v>0.19700000000000001</v>
      </c>
      <c r="P310" s="37">
        <f>VLOOKUP(Table1[[#This Row],[INSTANT]],[1]dataset_2!$A:$G,3,0)</f>
        <v>0.59</v>
      </c>
      <c r="Q310" s="37">
        <f>VLOOKUP(Table1[[#This Row],[INSTANT]],[1]dataset_2!$A:$D,4,FALSE)</f>
        <v>8.9599999999999999E-2</v>
      </c>
      <c r="R310" s="37">
        <f>VLOOKUP(Table1[[#This Row],[INSTANT]],[1]dataset_2!$A:$G,5,0)</f>
        <v>3</v>
      </c>
      <c r="S310" s="38">
        <f>VLOOKUP(Table1[[#This Row],[INSTANT]],[1]dataset_2!$A:$G,6,0)</f>
        <v>89</v>
      </c>
      <c r="T310" s="38">
        <f>VLOOKUP(Table1[[#This Row],[INSTANT]],[1]dataset_2!$A:$G,7,0)</f>
        <v>92</v>
      </c>
    </row>
    <row r="311" spans="1:20" ht="13" x14ac:dyDescent="0.15">
      <c r="A311" s="35">
        <v>310</v>
      </c>
      <c r="B311" s="27">
        <v>40557</v>
      </c>
      <c r="C311" s="8" t="str">
        <f t="shared" si="8"/>
        <v>2011</v>
      </c>
      <c r="D311" s="8" t="str">
        <f t="shared" si="9"/>
        <v>14</v>
      </c>
      <c r="E311" s="7">
        <v>1</v>
      </c>
      <c r="F311" s="7">
        <v>0</v>
      </c>
      <c r="G311" s="7">
        <v>1</v>
      </c>
      <c r="H311" s="7">
        <v>9</v>
      </c>
      <c r="I311" s="7" t="b">
        <v>0</v>
      </c>
      <c r="J311" s="22">
        <f>--Table1[[#This Row],[HOLIDAY]]</f>
        <v>0</v>
      </c>
      <c r="K311" s="9">
        <v>5</v>
      </c>
      <c r="L311" s="7">
        <v>1</v>
      </c>
      <c r="M311" s="7">
        <f>LEN(TEXT(Table1[[#This Row],[WEATHER]],"0"))</f>
        <v>1</v>
      </c>
      <c r="N311" s="36">
        <v>0.14000000000000001</v>
      </c>
      <c r="O311" s="37">
        <f>VLOOKUP(Table1[[#This Row],[INSTANT]],[1]dataset_2!$A:$G,2,FALSE)</f>
        <v>0.2424</v>
      </c>
      <c r="P311" s="37">
        <f>VLOOKUP(Table1[[#This Row],[INSTANT]],[1]dataset_2!$A:$G,3,0)</f>
        <v>0.59</v>
      </c>
      <c r="Q311" s="37">
        <f>VLOOKUP(Table1[[#This Row],[INSTANT]],[1]dataset_2!$A:$D,4,FALSE)</f>
        <v>0</v>
      </c>
      <c r="R311" s="37">
        <f>VLOOKUP(Table1[[#This Row],[INSTANT]],[1]dataset_2!$A:$G,5,0)</f>
        <v>0</v>
      </c>
      <c r="S311" s="38">
        <f>VLOOKUP(Table1[[#This Row],[INSTANT]],[1]dataset_2!$A:$G,6,0)</f>
        <v>68</v>
      </c>
      <c r="T311" s="38">
        <f>VLOOKUP(Table1[[#This Row],[INSTANT]],[1]dataset_2!$A:$G,7,0)</f>
        <v>68</v>
      </c>
    </row>
    <row r="312" spans="1:20" ht="13" x14ac:dyDescent="0.15">
      <c r="A312" s="35">
        <v>311</v>
      </c>
      <c r="B312" s="27">
        <v>40557</v>
      </c>
      <c r="C312" s="8" t="str">
        <f t="shared" si="8"/>
        <v>2011</v>
      </c>
      <c r="D312" s="8" t="str">
        <f t="shared" si="9"/>
        <v>14</v>
      </c>
      <c r="E312" s="7">
        <v>1</v>
      </c>
      <c r="F312" s="7">
        <v>0</v>
      </c>
      <c r="G312" s="7">
        <v>1</v>
      </c>
      <c r="H312" s="7">
        <v>10</v>
      </c>
      <c r="I312" s="7" t="b">
        <v>0</v>
      </c>
      <c r="J312" s="22">
        <f>--Table1[[#This Row],[HOLIDAY]]</f>
        <v>0</v>
      </c>
      <c r="K312" s="9">
        <v>5</v>
      </c>
      <c r="L312" s="7">
        <v>1</v>
      </c>
      <c r="M312" s="7">
        <f>LEN(TEXT(Table1[[#This Row],[WEATHER]],"0"))</f>
        <v>1</v>
      </c>
      <c r="N312" s="36">
        <v>0.18</v>
      </c>
      <c r="O312" s="37">
        <f>VLOOKUP(Table1[[#This Row],[INSTANT]],[1]dataset_2!$A:$G,2,FALSE)</f>
        <v>0.2273</v>
      </c>
      <c r="P312" s="37">
        <f>VLOOKUP(Table1[[#This Row],[INSTANT]],[1]dataset_2!$A:$G,3,0)</f>
        <v>0.69</v>
      </c>
      <c r="Q312" s="37">
        <f>VLOOKUP(Table1[[#This Row],[INSTANT]],[1]dataset_2!$A:$D,4,FALSE)</f>
        <v>0</v>
      </c>
      <c r="R312" s="37">
        <f>VLOOKUP(Table1[[#This Row],[INSTANT]],[1]dataset_2!$A:$G,5,0)</f>
        <v>4</v>
      </c>
      <c r="S312" s="38">
        <f>VLOOKUP(Table1[[#This Row],[INSTANT]],[1]dataset_2!$A:$G,6,0)</f>
        <v>48</v>
      </c>
      <c r="T312" s="38">
        <f>VLOOKUP(Table1[[#This Row],[INSTANT]],[1]dataset_2!$A:$G,7,0)</f>
        <v>52</v>
      </c>
    </row>
    <row r="313" spans="1:20" ht="13" x14ac:dyDescent="0.15">
      <c r="A313" s="35">
        <v>312</v>
      </c>
      <c r="B313" s="27">
        <v>40557</v>
      </c>
      <c r="C313" s="8" t="str">
        <f t="shared" si="8"/>
        <v>2011</v>
      </c>
      <c r="D313" s="8" t="str">
        <f t="shared" si="9"/>
        <v>14</v>
      </c>
      <c r="E313" s="7">
        <v>1</v>
      </c>
      <c r="F313" s="7">
        <v>0</v>
      </c>
      <c r="G313" s="7">
        <v>1</v>
      </c>
      <c r="H313" s="7">
        <v>11</v>
      </c>
      <c r="I313" s="7" t="b">
        <v>0</v>
      </c>
      <c r="J313" s="22">
        <f>--Table1[[#This Row],[HOLIDAY]]</f>
        <v>0</v>
      </c>
      <c r="K313" s="9">
        <v>5</v>
      </c>
      <c r="L313" s="7">
        <v>1</v>
      </c>
      <c r="M313" s="7">
        <f>LEN(TEXT(Table1[[#This Row],[WEATHER]],"0"))</f>
        <v>1</v>
      </c>
      <c r="N313" s="36">
        <v>0.18</v>
      </c>
      <c r="O313" s="37">
        <f>VLOOKUP(Table1[[#This Row],[INSTANT]],[1]dataset_2!$A:$G,2,FALSE)</f>
        <v>0.2273</v>
      </c>
      <c r="P313" s="37">
        <f>VLOOKUP(Table1[[#This Row],[INSTANT]],[1]dataset_2!$A:$G,3,0)</f>
        <v>0.69</v>
      </c>
      <c r="Q313" s="37">
        <f>VLOOKUP(Table1[[#This Row],[INSTANT]],[1]dataset_2!$A:$D,4,FALSE)</f>
        <v>0</v>
      </c>
      <c r="R313" s="37">
        <f>VLOOKUP(Table1[[#This Row],[INSTANT]],[1]dataset_2!$A:$G,5,0)</f>
        <v>2</v>
      </c>
      <c r="S313" s="38">
        <f>VLOOKUP(Table1[[#This Row],[INSTANT]],[1]dataset_2!$A:$G,6,0)</f>
        <v>34</v>
      </c>
      <c r="T313" s="38">
        <f>VLOOKUP(Table1[[#This Row],[INSTANT]],[1]dataset_2!$A:$G,7,0)</f>
        <v>36</v>
      </c>
    </row>
    <row r="314" spans="1:20" ht="13" x14ac:dyDescent="0.15">
      <c r="A314" s="35">
        <v>313</v>
      </c>
      <c r="B314" s="27">
        <v>40557</v>
      </c>
      <c r="C314" s="8" t="str">
        <f t="shared" si="8"/>
        <v>2011</v>
      </c>
      <c r="D314" s="8" t="str">
        <f t="shared" si="9"/>
        <v>14</v>
      </c>
      <c r="E314" s="7">
        <v>1</v>
      </c>
      <c r="F314" s="7">
        <v>0</v>
      </c>
      <c r="G314" s="7">
        <v>1</v>
      </c>
      <c r="H314" s="7">
        <v>12</v>
      </c>
      <c r="I314" s="7" t="b">
        <v>0</v>
      </c>
      <c r="J314" s="22">
        <f>--Table1[[#This Row],[HOLIDAY]]</f>
        <v>0</v>
      </c>
      <c r="K314" s="9">
        <v>5</v>
      </c>
      <c r="L314" s="7">
        <v>1</v>
      </c>
      <c r="M314" s="7">
        <f>LEN(TEXT(Table1[[#This Row],[WEATHER]],"0"))</f>
        <v>1</v>
      </c>
      <c r="N314" s="36">
        <v>0.2</v>
      </c>
      <c r="O314" s="37">
        <f>VLOOKUP(Table1[[#This Row],[INSTANT]],[1]dataset_2!$A:$G,2,FALSE)</f>
        <v>0.2424</v>
      </c>
      <c r="P314" s="37">
        <f>VLOOKUP(Table1[[#This Row],[INSTANT]],[1]dataset_2!$A:$G,3,0)</f>
        <v>0.55000000000000004</v>
      </c>
      <c r="Q314" s="37">
        <f>VLOOKUP(Table1[[#This Row],[INSTANT]],[1]dataset_2!$A:$D,4,FALSE)</f>
        <v>0</v>
      </c>
      <c r="R314" s="37">
        <f>VLOOKUP(Table1[[#This Row],[INSTANT]],[1]dataset_2!$A:$G,5,0)</f>
        <v>1</v>
      </c>
      <c r="S314" s="38">
        <f>VLOOKUP(Table1[[#This Row],[INSTANT]],[1]dataset_2!$A:$G,6,0)</f>
        <v>26</v>
      </c>
      <c r="T314" s="38">
        <f>VLOOKUP(Table1[[#This Row],[INSTANT]],[1]dataset_2!$A:$G,7,0)</f>
        <v>27</v>
      </c>
    </row>
    <row r="315" spans="1:20" ht="13" x14ac:dyDescent="0.15">
      <c r="A315" s="35">
        <v>314</v>
      </c>
      <c r="B315" s="27">
        <v>40557</v>
      </c>
      <c r="C315" s="8" t="str">
        <f t="shared" si="8"/>
        <v>2011</v>
      </c>
      <c r="D315" s="8" t="str">
        <f t="shared" si="9"/>
        <v>14</v>
      </c>
      <c r="E315" s="7">
        <v>1</v>
      </c>
      <c r="F315" s="7">
        <v>0</v>
      </c>
      <c r="G315" s="7">
        <v>1</v>
      </c>
      <c r="H315" s="7">
        <v>13</v>
      </c>
      <c r="I315" s="7" t="b">
        <v>0</v>
      </c>
      <c r="J315" s="22">
        <f>--Table1[[#This Row],[HOLIDAY]]</f>
        <v>0</v>
      </c>
      <c r="K315" s="9">
        <v>5</v>
      </c>
      <c r="L315" s="7">
        <v>1</v>
      </c>
      <c r="M315" s="7">
        <f>LEN(TEXT(Table1[[#This Row],[WEATHER]],"0"))</f>
        <v>1</v>
      </c>
      <c r="N315" s="36">
        <v>0.22</v>
      </c>
      <c r="O315" s="37">
        <f>VLOOKUP(Table1[[#This Row],[INSTANT]],[1]dataset_2!$A:$G,2,FALSE)</f>
        <v>0.2424</v>
      </c>
      <c r="P315" s="37">
        <f>VLOOKUP(Table1[[#This Row],[INSTANT]],[1]dataset_2!$A:$G,3,0)</f>
        <v>0.55000000000000004</v>
      </c>
      <c r="Q315" s="37">
        <f>VLOOKUP(Table1[[#This Row],[INSTANT]],[1]dataset_2!$A:$D,4,FALSE)</f>
        <v>0</v>
      </c>
      <c r="R315" s="37">
        <f>VLOOKUP(Table1[[#This Row],[INSTANT]],[1]dataset_2!$A:$G,5,0)</f>
        <v>3</v>
      </c>
      <c r="S315" s="38">
        <f>VLOOKUP(Table1[[#This Row],[INSTANT]],[1]dataset_2!$A:$G,6,0)</f>
        <v>25</v>
      </c>
      <c r="T315" s="38">
        <f>VLOOKUP(Table1[[#This Row],[INSTANT]],[1]dataset_2!$A:$G,7,0)</f>
        <v>28</v>
      </c>
    </row>
    <row r="316" spans="1:20" ht="13" x14ac:dyDescent="0.15">
      <c r="A316" s="35">
        <v>315</v>
      </c>
      <c r="B316" s="27">
        <v>40557</v>
      </c>
      <c r="C316" s="8" t="str">
        <f t="shared" si="8"/>
        <v>2011</v>
      </c>
      <c r="D316" s="8" t="str">
        <f t="shared" si="9"/>
        <v>14</v>
      </c>
      <c r="E316" s="7">
        <v>1</v>
      </c>
      <c r="F316" s="7">
        <v>0</v>
      </c>
      <c r="G316" s="7">
        <v>1</v>
      </c>
      <c r="H316" s="7">
        <v>14</v>
      </c>
      <c r="I316" s="7" t="b">
        <v>0</v>
      </c>
      <c r="J316" s="22">
        <f>--Table1[[#This Row],[HOLIDAY]]</f>
        <v>0</v>
      </c>
      <c r="K316" s="9">
        <v>5</v>
      </c>
      <c r="L316" s="7">
        <v>1</v>
      </c>
      <c r="M316" s="7">
        <f>LEN(TEXT(Table1[[#This Row],[WEATHER]],"0"))</f>
        <v>1</v>
      </c>
      <c r="N316" s="36">
        <v>0.22</v>
      </c>
      <c r="O316" s="37">
        <f>VLOOKUP(Table1[[#This Row],[INSTANT]],[1]dataset_2!$A:$G,2,FALSE)</f>
        <v>0.19700000000000001</v>
      </c>
      <c r="P316" s="37">
        <f>VLOOKUP(Table1[[#This Row],[INSTANT]],[1]dataset_2!$A:$G,3,0)</f>
        <v>0.59</v>
      </c>
      <c r="Q316" s="37">
        <f>VLOOKUP(Table1[[#This Row],[INSTANT]],[1]dataset_2!$A:$D,4,FALSE)</f>
        <v>8.9599999999999999E-2</v>
      </c>
      <c r="R316" s="37">
        <f>VLOOKUP(Table1[[#This Row],[INSTANT]],[1]dataset_2!$A:$G,5,0)</f>
        <v>2</v>
      </c>
      <c r="S316" s="38">
        <f>VLOOKUP(Table1[[#This Row],[INSTANT]],[1]dataset_2!$A:$G,6,0)</f>
        <v>18</v>
      </c>
      <c r="T316" s="38">
        <f>VLOOKUP(Table1[[#This Row],[INSTANT]],[1]dataset_2!$A:$G,7,0)</f>
        <v>20</v>
      </c>
    </row>
    <row r="317" spans="1:20" ht="13" x14ac:dyDescent="0.15">
      <c r="A317" s="35">
        <v>316</v>
      </c>
      <c r="B317" s="27">
        <v>40557</v>
      </c>
      <c r="C317" s="8" t="str">
        <f t="shared" si="8"/>
        <v>2011</v>
      </c>
      <c r="D317" s="8" t="str">
        <f t="shared" si="9"/>
        <v>14</v>
      </c>
      <c r="E317" s="7">
        <v>1</v>
      </c>
      <c r="F317" s="7">
        <v>0</v>
      </c>
      <c r="G317" s="7">
        <v>1</v>
      </c>
      <c r="H317" s="7">
        <v>15</v>
      </c>
      <c r="I317" s="7" t="b">
        <v>0</v>
      </c>
      <c r="J317" s="22">
        <f>--Table1[[#This Row],[HOLIDAY]]</f>
        <v>0</v>
      </c>
      <c r="K317" s="9">
        <v>5</v>
      </c>
      <c r="L317" s="7">
        <v>1</v>
      </c>
      <c r="M317" s="7">
        <f>LEN(TEXT(Table1[[#This Row],[WEATHER]],"0"))</f>
        <v>1</v>
      </c>
      <c r="N317" s="36">
        <v>0.24</v>
      </c>
      <c r="O317" s="37">
        <f>VLOOKUP(Table1[[#This Row],[INSTANT]],[1]dataset_2!$A:$G,2,FALSE)</f>
        <v>0.19700000000000001</v>
      </c>
      <c r="P317" s="37">
        <f>VLOOKUP(Table1[[#This Row],[INSTANT]],[1]dataset_2!$A:$G,3,0)</f>
        <v>0.59</v>
      </c>
      <c r="Q317" s="37">
        <f>VLOOKUP(Table1[[#This Row],[INSTANT]],[1]dataset_2!$A:$D,4,FALSE)</f>
        <v>8.9599999999999999E-2</v>
      </c>
      <c r="R317" s="37">
        <f>VLOOKUP(Table1[[#This Row],[INSTANT]],[1]dataset_2!$A:$G,5,0)</f>
        <v>0</v>
      </c>
      <c r="S317" s="38">
        <f>VLOOKUP(Table1[[#This Row],[INSTANT]],[1]dataset_2!$A:$G,6,0)</f>
        <v>12</v>
      </c>
      <c r="T317" s="38">
        <f>VLOOKUP(Table1[[#This Row],[INSTANT]],[1]dataset_2!$A:$G,7,0)</f>
        <v>12</v>
      </c>
    </row>
    <row r="318" spans="1:20" ht="13" x14ac:dyDescent="0.15">
      <c r="A318" s="35">
        <v>317</v>
      </c>
      <c r="B318" s="27">
        <v>40557</v>
      </c>
      <c r="C318" s="8" t="str">
        <f t="shared" si="8"/>
        <v>2011</v>
      </c>
      <c r="D318" s="8" t="str">
        <f t="shared" si="9"/>
        <v>14</v>
      </c>
      <c r="E318" s="7">
        <v>1</v>
      </c>
      <c r="F318" s="7">
        <v>0</v>
      </c>
      <c r="G318" s="7">
        <v>1</v>
      </c>
      <c r="H318" s="7">
        <v>16</v>
      </c>
      <c r="I318" s="7" t="b">
        <v>0</v>
      </c>
      <c r="J318" s="22">
        <f>--Table1[[#This Row],[HOLIDAY]]</f>
        <v>0</v>
      </c>
      <c r="K318" s="9">
        <v>5</v>
      </c>
      <c r="L318" s="7">
        <v>1</v>
      </c>
      <c r="M318" s="7">
        <f>LEN(TEXT(Table1[[#This Row],[WEATHER]],"0"))</f>
        <v>1</v>
      </c>
      <c r="N318" s="36">
        <v>0.22</v>
      </c>
      <c r="O318" s="37">
        <f>VLOOKUP(Table1[[#This Row],[INSTANT]],[1]dataset_2!$A:$G,2,FALSE)</f>
        <v>0.2273</v>
      </c>
      <c r="P318" s="37">
        <f>VLOOKUP(Table1[[#This Row],[INSTANT]],[1]dataset_2!$A:$G,3,0)</f>
        <v>0.59</v>
      </c>
      <c r="Q318" s="37">
        <f>VLOOKUP(Table1[[#This Row],[INSTANT]],[1]dataset_2!$A:$D,4,FALSE)</f>
        <v>0</v>
      </c>
      <c r="R318" s="37">
        <f>VLOOKUP(Table1[[#This Row],[INSTANT]],[1]dataset_2!$A:$G,5,0)</f>
        <v>1</v>
      </c>
      <c r="S318" s="38">
        <f>VLOOKUP(Table1[[#This Row],[INSTANT]],[1]dataset_2!$A:$G,6,0)</f>
        <v>7</v>
      </c>
      <c r="T318" s="38">
        <f>VLOOKUP(Table1[[#This Row],[INSTANT]],[1]dataset_2!$A:$G,7,0)</f>
        <v>8</v>
      </c>
    </row>
    <row r="319" spans="1:20" ht="13" x14ac:dyDescent="0.15">
      <c r="A319" s="35">
        <v>318</v>
      </c>
      <c r="B319" s="27">
        <v>40557</v>
      </c>
      <c r="C319" s="8" t="str">
        <f t="shared" si="8"/>
        <v>2011</v>
      </c>
      <c r="D319" s="8" t="str">
        <f t="shared" si="9"/>
        <v>14</v>
      </c>
      <c r="E319" s="7">
        <v>1</v>
      </c>
      <c r="F319" s="7">
        <v>0</v>
      </c>
      <c r="G319" s="7">
        <v>1</v>
      </c>
      <c r="H319" s="7">
        <v>17</v>
      </c>
      <c r="I319" s="7" t="b">
        <v>0</v>
      </c>
      <c r="J319" s="22">
        <f>--Table1[[#This Row],[HOLIDAY]]</f>
        <v>0</v>
      </c>
      <c r="K319" s="9">
        <v>5</v>
      </c>
      <c r="L319" s="7">
        <v>1</v>
      </c>
      <c r="M319" s="7">
        <f>LEN(TEXT(Table1[[#This Row],[WEATHER]],"0"))</f>
        <v>1</v>
      </c>
      <c r="N319" s="36">
        <v>0.22</v>
      </c>
      <c r="O319" s="37">
        <f>VLOOKUP(Table1[[#This Row],[INSTANT]],[1]dataset_2!$A:$G,2,FALSE)</f>
        <v>0.2273</v>
      </c>
      <c r="P319" s="37">
        <f>VLOOKUP(Table1[[#This Row],[INSTANT]],[1]dataset_2!$A:$G,3,0)</f>
        <v>0.59</v>
      </c>
      <c r="Q319" s="37">
        <f>VLOOKUP(Table1[[#This Row],[INSTANT]],[1]dataset_2!$A:$D,4,FALSE)</f>
        <v>0</v>
      </c>
      <c r="R319" s="37">
        <f>VLOOKUP(Table1[[#This Row],[INSTANT]],[1]dataset_2!$A:$G,5,0)</f>
        <v>0</v>
      </c>
      <c r="S319" s="38">
        <f>VLOOKUP(Table1[[#This Row],[INSTANT]],[1]dataset_2!$A:$G,6,0)</f>
        <v>5</v>
      </c>
      <c r="T319" s="38">
        <f>VLOOKUP(Table1[[#This Row],[INSTANT]],[1]dataset_2!$A:$G,7,0)</f>
        <v>5</v>
      </c>
    </row>
    <row r="320" spans="1:20" ht="13" x14ac:dyDescent="0.15">
      <c r="A320" s="35">
        <v>319</v>
      </c>
      <c r="B320" s="27">
        <v>40557</v>
      </c>
      <c r="C320" s="8" t="str">
        <f t="shared" si="8"/>
        <v>2011</v>
      </c>
      <c r="D320" s="8" t="str">
        <f t="shared" si="9"/>
        <v>14</v>
      </c>
      <c r="E320" s="7">
        <v>1</v>
      </c>
      <c r="F320" s="7">
        <v>0</v>
      </c>
      <c r="G320" s="7">
        <v>1</v>
      </c>
      <c r="H320" s="7">
        <v>18</v>
      </c>
      <c r="I320" s="7" t="b">
        <v>0</v>
      </c>
      <c r="J320" s="22">
        <f>--Table1[[#This Row],[HOLIDAY]]</f>
        <v>0</v>
      </c>
      <c r="K320" s="9">
        <v>5</v>
      </c>
      <c r="L320" s="7">
        <v>1</v>
      </c>
      <c r="M320" s="7">
        <f>LEN(TEXT(Table1[[#This Row],[WEATHER]],"0"))</f>
        <v>1</v>
      </c>
      <c r="N320" s="36">
        <v>0.2</v>
      </c>
      <c r="O320" s="37">
        <f>VLOOKUP(Table1[[#This Row],[INSTANT]],[1]dataset_2!$A:$G,2,FALSE)</f>
        <v>0.2273</v>
      </c>
      <c r="P320" s="37">
        <f>VLOOKUP(Table1[[#This Row],[INSTANT]],[1]dataset_2!$A:$G,3,0)</f>
        <v>0.59</v>
      </c>
      <c r="Q320" s="37">
        <f>VLOOKUP(Table1[[#This Row],[INSTANT]],[1]dataset_2!$A:$D,4,FALSE)</f>
        <v>0</v>
      </c>
      <c r="R320" s="37">
        <f>VLOOKUP(Table1[[#This Row],[INSTANT]],[1]dataset_2!$A:$G,5,0)</f>
        <v>0</v>
      </c>
      <c r="S320" s="38">
        <f>VLOOKUP(Table1[[#This Row],[INSTANT]],[1]dataset_2!$A:$G,6,0)</f>
        <v>1</v>
      </c>
      <c r="T320" s="38">
        <f>VLOOKUP(Table1[[#This Row],[INSTANT]],[1]dataset_2!$A:$G,7,0)</f>
        <v>1</v>
      </c>
    </row>
    <row r="321" spans="1:20" ht="13" x14ac:dyDescent="0.15">
      <c r="A321" s="35">
        <v>320</v>
      </c>
      <c r="B321" s="27">
        <v>40557</v>
      </c>
      <c r="C321" s="8" t="str">
        <f t="shared" si="8"/>
        <v>2011</v>
      </c>
      <c r="D321" s="8" t="str">
        <f t="shared" si="9"/>
        <v>14</v>
      </c>
      <c r="E321" s="7">
        <v>1</v>
      </c>
      <c r="F321" s="7">
        <v>0</v>
      </c>
      <c r="G321" s="7">
        <v>1</v>
      </c>
      <c r="H321" s="7">
        <v>19</v>
      </c>
      <c r="I321" s="7" t="b">
        <v>0</v>
      </c>
      <c r="J321" s="22">
        <f>--Table1[[#This Row],[HOLIDAY]]</f>
        <v>0</v>
      </c>
      <c r="K321" s="9">
        <v>5</v>
      </c>
      <c r="L321" s="7">
        <v>1</v>
      </c>
      <c r="M321" s="7">
        <f>LEN(TEXT(Table1[[#This Row],[WEATHER]],"0"))</f>
        <v>1</v>
      </c>
      <c r="N321" s="36">
        <v>0.16</v>
      </c>
      <c r="O321" s="37">
        <f>VLOOKUP(Table1[[#This Row],[INSTANT]],[1]dataset_2!$A:$G,2,FALSE)</f>
        <v>0.16669999999999999</v>
      </c>
      <c r="P321" s="37">
        <f>VLOOKUP(Table1[[#This Row],[INSTANT]],[1]dataset_2!$A:$G,3,0)</f>
        <v>0.63</v>
      </c>
      <c r="Q321" s="37">
        <f>VLOOKUP(Table1[[#This Row],[INSTANT]],[1]dataset_2!$A:$D,4,FALSE)</f>
        <v>0.1045</v>
      </c>
      <c r="R321" s="37">
        <f>VLOOKUP(Table1[[#This Row],[INSTANT]],[1]dataset_2!$A:$G,5,0)</f>
        <v>1</v>
      </c>
      <c r="S321" s="38">
        <f>VLOOKUP(Table1[[#This Row],[INSTANT]],[1]dataset_2!$A:$G,6,0)</f>
        <v>2</v>
      </c>
      <c r="T321" s="38">
        <f>VLOOKUP(Table1[[#This Row],[INSTANT]],[1]dataset_2!$A:$G,7,0)</f>
        <v>3</v>
      </c>
    </row>
    <row r="322" spans="1:20" ht="13" x14ac:dyDescent="0.15">
      <c r="A322" s="35">
        <v>321</v>
      </c>
      <c r="B322" s="27">
        <v>40557</v>
      </c>
      <c r="C322" s="8" t="str">
        <f t="shared" ref="C322:C385" si="10">RIGHT(TEXT(B323,"DD-MM-YYYY"),4)</f>
        <v>2011</v>
      </c>
      <c r="D322" s="8" t="str">
        <f t="shared" ref="D322:D385" si="11">LEFT(TEXT(B322,"DD-MM-YYYY"),2)</f>
        <v>14</v>
      </c>
      <c r="E322" s="7">
        <v>1</v>
      </c>
      <c r="F322" s="7">
        <v>0</v>
      </c>
      <c r="G322" s="7">
        <v>1</v>
      </c>
      <c r="H322" s="7">
        <v>20</v>
      </c>
      <c r="I322" s="7" t="b">
        <v>0</v>
      </c>
      <c r="J322" s="22">
        <f>--Table1[[#This Row],[HOLIDAY]]</f>
        <v>0</v>
      </c>
      <c r="K322" s="9">
        <v>5</v>
      </c>
      <c r="L322" s="7">
        <v>1</v>
      </c>
      <c r="M322" s="7">
        <f>LEN(TEXT(Table1[[#This Row],[WEATHER]],"0"))</f>
        <v>1</v>
      </c>
      <c r="N322" s="36">
        <v>0.18</v>
      </c>
      <c r="O322" s="37">
        <f>VLOOKUP(Table1[[#This Row],[INSTANT]],[1]dataset_2!$A:$G,2,FALSE)</f>
        <v>0.21210000000000001</v>
      </c>
      <c r="P322" s="37">
        <f>VLOOKUP(Table1[[#This Row],[INSTANT]],[1]dataset_2!$A:$G,3,0)</f>
        <v>0.63</v>
      </c>
      <c r="Q322" s="37">
        <f>VLOOKUP(Table1[[#This Row],[INSTANT]],[1]dataset_2!$A:$D,4,FALSE)</f>
        <v>0</v>
      </c>
      <c r="R322" s="37">
        <f>VLOOKUP(Table1[[#This Row],[INSTANT]],[1]dataset_2!$A:$G,5,0)</f>
        <v>1</v>
      </c>
      <c r="S322" s="38">
        <f>VLOOKUP(Table1[[#This Row],[INSTANT]],[1]dataset_2!$A:$G,6,0)</f>
        <v>9</v>
      </c>
      <c r="T322" s="38">
        <f>VLOOKUP(Table1[[#This Row],[INSTANT]],[1]dataset_2!$A:$G,7,0)</f>
        <v>10</v>
      </c>
    </row>
    <row r="323" spans="1:20" ht="13" x14ac:dyDescent="0.15">
      <c r="A323" s="35">
        <v>322</v>
      </c>
      <c r="B323" s="27">
        <v>40557</v>
      </c>
      <c r="C323" s="8" t="str">
        <f t="shared" si="10"/>
        <v>2011</v>
      </c>
      <c r="D323" s="8" t="str">
        <f t="shared" si="11"/>
        <v>14</v>
      </c>
      <c r="E323" s="7">
        <v>1</v>
      </c>
      <c r="F323" s="7">
        <v>0</v>
      </c>
      <c r="G323" s="7">
        <v>1</v>
      </c>
      <c r="H323" s="7">
        <v>21</v>
      </c>
      <c r="I323" s="7" t="b">
        <v>0</v>
      </c>
      <c r="J323" s="22">
        <f>--Table1[[#This Row],[HOLIDAY]]</f>
        <v>0</v>
      </c>
      <c r="K323" s="9">
        <v>5</v>
      </c>
      <c r="L323" s="7">
        <v>1</v>
      </c>
      <c r="M323" s="7">
        <f>LEN(TEXT(Table1[[#This Row],[WEATHER]],"0"))</f>
        <v>1</v>
      </c>
      <c r="N323" s="36">
        <v>0.16</v>
      </c>
      <c r="O323" s="37">
        <f>VLOOKUP(Table1[[#This Row],[INSTANT]],[1]dataset_2!$A:$G,2,FALSE)</f>
        <v>0.1515</v>
      </c>
      <c r="P323" s="37">
        <f>VLOOKUP(Table1[[#This Row],[INSTANT]],[1]dataset_2!$A:$G,3,0)</f>
        <v>0.63</v>
      </c>
      <c r="Q323" s="37">
        <f>VLOOKUP(Table1[[#This Row],[INSTANT]],[1]dataset_2!$A:$D,4,FALSE)</f>
        <v>0.1343</v>
      </c>
      <c r="R323" s="37">
        <f>VLOOKUP(Table1[[#This Row],[INSTANT]],[1]dataset_2!$A:$G,5,0)</f>
        <v>1</v>
      </c>
      <c r="S323" s="38">
        <f>VLOOKUP(Table1[[#This Row],[INSTANT]],[1]dataset_2!$A:$G,6,0)</f>
        <v>22</v>
      </c>
      <c r="T323" s="38">
        <f>VLOOKUP(Table1[[#This Row],[INSTANT]],[1]dataset_2!$A:$G,7,0)</f>
        <v>23</v>
      </c>
    </row>
    <row r="324" spans="1:20" ht="13" x14ac:dyDescent="0.15">
      <c r="A324" s="35">
        <v>323</v>
      </c>
      <c r="B324" s="27">
        <v>40557</v>
      </c>
      <c r="C324" s="8" t="str">
        <f t="shared" si="10"/>
        <v>2011</v>
      </c>
      <c r="D324" s="8" t="str">
        <f t="shared" si="11"/>
        <v>14</v>
      </c>
      <c r="E324" s="7">
        <v>1</v>
      </c>
      <c r="F324" s="7">
        <v>0</v>
      </c>
      <c r="G324" s="7">
        <v>1</v>
      </c>
      <c r="H324" s="7">
        <v>22</v>
      </c>
      <c r="I324" s="7" t="b">
        <v>0</v>
      </c>
      <c r="J324" s="22">
        <f>--Table1[[#This Row],[HOLIDAY]]</f>
        <v>0</v>
      </c>
      <c r="K324" s="9">
        <v>5</v>
      </c>
      <c r="L324" s="7">
        <v>2</v>
      </c>
      <c r="M324" s="7">
        <f>LEN(TEXT(Table1[[#This Row],[WEATHER]],"0"))</f>
        <v>1</v>
      </c>
      <c r="N324" s="36">
        <v>0.16</v>
      </c>
      <c r="O324" s="37">
        <f>VLOOKUP(Table1[[#This Row],[INSTANT]],[1]dataset_2!$A:$G,2,FALSE)</f>
        <v>0.18179999999999999</v>
      </c>
      <c r="P324" s="37">
        <f>VLOOKUP(Table1[[#This Row],[INSTANT]],[1]dataset_2!$A:$G,3,0)</f>
        <v>0.64</v>
      </c>
      <c r="Q324" s="37">
        <f>VLOOKUP(Table1[[#This Row],[INSTANT]],[1]dataset_2!$A:$D,4,FALSE)</f>
        <v>0.1343</v>
      </c>
      <c r="R324" s="37">
        <f>VLOOKUP(Table1[[#This Row],[INSTANT]],[1]dataset_2!$A:$G,5,0)</f>
        <v>2</v>
      </c>
      <c r="S324" s="38">
        <f>VLOOKUP(Table1[[#This Row],[INSTANT]],[1]dataset_2!$A:$G,6,0)</f>
        <v>31</v>
      </c>
      <c r="T324" s="38">
        <f>VLOOKUP(Table1[[#This Row],[INSTANT]],[1]dataset_2!$A:$G,7,0)</f>
        <v>33</v>
      </c>
    </row>
    <row r="325" spans="1:20" ht="13" x14ac:dyDescent="0.15">
      <c r="A325" s="35">
        <v>324</v>
      </c>
      <c r="B325" s="27">
        <v>40557</v>
      </c>
      <c r="C325" s="8" t="str">
        <f t="shared" si="10"/>
        <v>2011</v>
      </c>
      <c r="D325" s="8" t="str">
        <f t="shared" si="11"/>
        <v>14</v>
      </c>
      <c r="E325" s="7">
        <v>1</v>
      </c>
      <c r="F325" s="7">
        <v>0</v>
      </c>
      <c r="G325" s="7">
        <v>1</v>
      </c>
      <c r="H325" s="7">
        <v>23</v>
      </c>
      <c r="I325" s="7" t="b">
        <v>0</v>
      </c>
      <c r="J325" s="22">
        <f>--Table1[[#This Row],[HOLIDAY]]</f>
        <v>0</v>
      </c>
      <c r="K325" s="9">
        <v>5</v>
      </c>
      <c r="L325" s="7">
        <v>2</v>
      </c>
      <c r="M325" s="7">
        <f>LEN(TEXT(Table1[[#This Row],[WEATHER]],"0"))</f>
        <v>1</v>
      </c>
      <c r="N325" s="36">
        <v>0.18</v>
      </c>
      <c r="O325" s="37">
        <f>VLOOKUP(Table1[[#This Row],[INSTANT]],[1]dataset_2!$A:$G,2,FALSE)</f>
        <v>0.19700000000000001</v>
      </c>
      <c r="P325" s="37">
        <f>VLOOKUP(Table1[[#This Row],[INSTANT]],[1]dataset_2!$A:$G,3,0)</f>
        <v>0.59</v>
      </c>
      <c r="Q325" s="37">
        <f>VLOOKUP(Table1[[#This Row],[INSTANT]],[1]dataset_2!$A:$D,4,FALSE)</f>
        <v>0.16420000000000001</v>
      </c>
      <c r="R325" s="37">
        <f>VLOOKUP(Table1[[#This Row],[INSTANT]],[1]dataset_2!$A:$G,5,0)</f>
        <v>2</v>
      </c>
      <c r="S325" s="38">
        <f>VLOOKUP(Table1[[#This Row],[INSTANT]],[1]dataset_2!$A:$G,6,0)</f>
        <v>57</v>
      </c>
      <c r="T325" s="38">
        <f>VLOOKUP(Table1[[#This Row],[INSTANT]],[1]dataset_2!$A:$G,7,0)</f>
        <v>59</v>
      </c>
    </row>
    <row r="326" spans="1:20" ht="13" x14ac:dyDescent="0.15">
      <c r="A326" s="35">
        <v>325</v>
      </c>
      <c r="B326" s="27">
        <v>40558</v>
      </c>
      <c r="C326" s="8" t="str">
        <f t="shared" si="10"/>
        <v>2011</v>
      </c>
      <c r="D326" s="8" t="str">
        <f t="shared" si="11"/>
        <v>15</v>
      </c>
      <c r="E326" s="7">
        <v>1</v>
      </c>
      <c r="F326" s="7">
        <v>0</v>
      </c>
      <c r="G326" s="7">
        <v>1</v>
      </c>
      <c r="H326" s="7">
        <v>0</v>
      </c>
      <c r="I326" s="7" t="b">
        <v>0</v>
      </c>
      <c r="J326" s="22">
        <f>--Table1[[#This Row],[HOLIDAY]]</f>
        <v>0</v>
      </c>
      <c r="K326" s="9">
        <v>6</v>
      </c>
      <c r="L326" s="7">
        <v>1</v>
      </c>
      <c r="M326" s="7">
        <f>LEN(TEXT(Table1[[#This Row],[WEATHER]],"0"))</f>
        <v>1</v>
      </c>
      <c r="N326" s="36">
        <v>0.18</v>
      </c>
      <c r="O326" s="37">
        <f>VLOOKUP(Table1[[#This Row],[INSTANT]],[1]dataset_2!$A:$G,2,FALSE)</f>
        <v>0.19700000000000001</v>
      </c>
      <c r="P326" s="37">
        <f>VLOOKUP(Table1[[#This Row],[INSTANT]],[1]dataset_2!$A:$G,3,0)</f>
        <v>0.55000000000000004</v>
      </c>
      <c r="Q326" s="37">
        <f>VLOOKUP(Table1[[#This Row],[INSTANT]],[1]dataset_2!$A:$D,4,FALSE)</f>
        <v>0.22389999999999999</v>
      </c>
      <c r="R326" s="37">
        <f>VLOOKUP(Table1[[#This Row],[INSTANT]],[1]dataset_2!$A:$G,5,0)</f>
        <v>18</v>
      </c>
      <c r="S326" s="38">
        <f>VLOOKUP(Table1[[#This Row],[INSTANT]],[1]dataset_2!$A:$G,6,0)</f>
        <v>54</v>
      </c>
      <c r="T326" s="38">
        <f>VLOOKUP(Table1[[#This Row],[INSTANT]],[1]dataset_2!$A:$G,7,0)</f>
        <v>72</v>
      </c>
    </row>
    <row r="327" spans="1:20" ht="13" x14ac:dyDescent="0.15">
      <c r="A327" s="35">
        <v>326</v>
      </c>
      <c r="B327" s="27">
        <v>40558</v>
      </c>
      <c r="C327" s="8" t="str">
        <f t="shared" si="10"/>
        <v>2011</v>
      </c>
      <c r="D327" s="8" t="str">
        <f t="shared" si="11"/>
        <v>15</v>
      </c>
      <c r="E327" s="7">
        <v>1</v>
      </c>
      <c r="F327" s="7">
        <v>0</v>
      </c>
      <c r="G327" s="7">
        <v>1</v>
      </c>
      <c r="H327" s="7">
        <v>1</v>
      </c>
      <c r="I327" s="7" t="b">
        <v>0</v>
      </c>
      <c r="J327" s="22">
        <f>--Table1[[#This Row],[HOLIDAY]]</f>
        <v>0</v>
      </c>
      <c r="K327" s="9">
        <v>6</v>
      </c>
      <c r="L327" s="7">
        <v>2</v>
      </c>
      <c r="M327" s="7">
        <f>LEN(TEXT(Table1[[#This Row],[WEATHER]],"0"))</f>
        <v>1</v>
      </c>
      <c r="N327" s="36">
        <v>0.16</v>
      </c>
      <c r="O327" s="37">
        <f>VLOOKUP(Table1[[#This Row],[INSTANT]],[1]dataset_2!$A:$G,2,FALSE)</f>
        <v>0.2273</v>
      </c>
      <c r="P327" s="37">
        <f>VLOOKUP(Table1[[#This Row],[INSTANT]],[1]dataset_2!$A:$G,3,0)</f>
        <v>0.48</v>
      </c>
      <c r="Q327" s="37">
        <f>VLOOKUP(Table1[[#This Row],[INSTANT]],[1]dataset_2!$A:$D,4,FALSE)</f>
        <v>0.22389999999999999</v>
      </c>
      <c r="R327" s="37">
        <f>VLOOKUP(Table1[[#This Row],[INSTANT]],[1]dataset_2!$A:$G,5,0)</f>
        <v>15</v>
      </c>
      <c r="S327" s="38">
        <f>VLOOKUP(Table1[[#This Row],[INSTANT]],[1]dataset_2!$A:$G,6,0)</f>
        <v>74</v>
      </c>
      <c r="T327" s="38">
        <f>VLOOKUP(Table1[[#This Row],[INSTANT]],[1]dataset_2!$A:$G,7,0)</f>
        <v>89</v>
      </c>
    </row>
    <row r="328" spans="1:20" ht="13" x14ac:dyDescent="0.15">
      <c r="A328" s="35">
        <v>327</v>
      </c>
      <c r="B328" s="27">
        <v>40558</v>
      </c>
      <c r="C328" s="8" t="str">
        <f t="shared" si="10"/>
        <v>2011</v>
      </c>
      <c r="D328" s="8" t="str">
        <f t="shared" si="11"/>
        <v>15</v>
      </c>
      <c r="E328" s="7">
        <v>1</v>
      </c>
      <c r="F328" s="7">
        <v>0</v>
      </c>
      <c r="G328" s="7">
        <v>1</v>
      </c>
      <c r="H328" s="7">
        <v>2</v>
      </c>
      <c r="I328" s="7" t="b">
        <v>0</v>
      </c>
      <c r="J328" s="22">
        <f>--Table1[[#This Row],[HOLIDAY]]</f>
        <v>0</v>
      </c>
      <c r="K328" s="9">
        <v>6</v>
      </c>
      <c r="L328" s="7">
        <v>2</v>
      </c>
      <c r="M328" s="7">
        <f>LEN(TEXT(Table1[[#This Row],[WEATHER]],"0"))</f>
        <v>1</v>
      </c>
      <c r="N328" s="36">
        <v>0.16</v>
      </c>
      <c r="O328" s="37">
        <f>VLOOKUP(Table1[[#This Row],[INSTANT]],[1]dataset_2!$A:$G,2,FALSE)</f>
        <v>0.2576</v>
      </c>
      <c r="P328" s="37">
        <f>VLOOKUP(Table1[[#This Row],[INSTANT]],[1]dataset_2!$A:$G,3,0)</f>
        <v>0.38</v>
      </c>
      <c r="Q328" s="37">
        <f>VLOOKUP(Table1[[#This Row],[INSTANT]],[1]dataset_2!$A:$D,4,FALSE)</f>
        <v>0.29849999999999999</v>
      </c>
      <c r="R328" s="37">
        <f>VLOOKUP(Table1[[#This Row],[INSTANT]],[1]dataset_2!$A:$G,5,0)</f>
        <v>21</v>
      </c>
      <c r="S328" s="38">
        <f>VLOOKUP(Table1[[#This Row],[INSTANT]],[1]dataset_2!$A:$G,6,0)</f>
        <v>80</v>
      </c>
      <c r="T328" s="38">
        <f>VLOOKUP(Table1[[#This Row],[INSTANT]],[1]dataset_2!$A:$G,7,0)</f>
        <v>101</v>
      </c>
    </row>
    <row r="329" spans="1:20" ht="13" x14ac:dyDescent="0.15">
      <c r="A329" s="35">
        <v>328</v>
      </c>
      <c r="B329" s="27">
        <v>40558</v>
      </c>
      <c r="C329" s="8" t="str">
        <f t="shared" si="10"/>
        <v>2011</v>
      </c>
      <c r="D329" s="8" t="str">
        <f t="shared" si="11"/>
        <v>15</v>
      </c>
      <c r="E329" s="7">
        <v>1</v>
      </c>
      <c r="F329" s="7">
        <v>0</v>
      </c>
      <c r="G329" s="7">
        <v>1</v>
      </c>
      <c r="H329" s="7">
        <v>3</v>
      </c>
      <c r="I329" s="7" t="b">
        <v>0</v>
      </c>
      <c r="J329" s="22">
        <f>--Table1[[#This Row],[HOLIDAY]]</f>
        <v>0</v>
      </c>
      <c r="K329" s="9">
        <v>6</v>
      </c>
      <c r="L329" s="7">
        <v>2</v>
      </c>
      <c r="M329" s="7">
        <f>LEN(TEXT(Table1[[#This Row],[WEATHER]],"0"))</f>
        <v>1</v>
      </c>
      <c r="N329" s="36">
        <v>0.16</v>
      </c>
      <c r="O329" s="37">
        <f>VLOOKUP(Table1[[#This Row],[INSTANT]],[1]dataset_2!$A:$G,2,FALSE)</f>
        <v>0.28789999999999999</v>
      </c>
      <c r="P329" s="37">
        <f>VLOOKUP(Table1[[#This Row],[INSTANT]],[1]dataset_2!$A:$G,3,0)</f>
        <v>0.39</v>
      </c>
      <c r="Q329" s="37">
        <f>VLOOKUP(Table1[[#This Row],[INSTANT]],[1]dataset_2!$A:$D,4,FALSE)</f>
        <v>0.28360000000000002</v>
      </c>
      <c r="R329" s="37">
        <f>VLOOKUP(Table1[[#This Row],[INSTANT]],[1]dataset_2!$A:$G,5,0)</f>
        <v>26</v>
      </c>
      <c r="S329" s="38">
        <f>VLOOKUP(Table1[[#This Row],[INSTANT]],[1]dataset_2!$A:$G,6,0)</f>
        <v>92</v>
      </c>
      <c r="T329" s="38">
        <f>VLOOKUP(Table1[[#This Row],[INSTANT]],[1]dataset_2!$A:$G,7,0)</f>
        <v>118</v>
      </c>
    </row>
    <row r="330" spans="1:20" ht="13" x14ac:dyDescent="0.15">
      <c r="A330" s="35">
        <v>329</v>
      </c>
      <c r="B330" s="27">
        <v>40558</v>
      </c>
      <c r="C330" s="8" t="str">
        <f t="shared" si="10"/>
        <v>2011</v>
      </c>
      <c r="D330" s="8" t="str">
        <f t="shared" si="11"/>
        <v>15</v>
      </c>
      <c r="E330" s="7">
        <v>1</v>
      </c>
      <c r="F330" s="7">
        <v>0</v>
      </c>
      <c r="G330" s="7">
        <v>1</v>
      </c>
      <c r="H330" s="7">
        <v>4</v>
      </c>
      <c r="I330" s="7" t="b">
        <v>0</v>
      </c>
      <c r="J330" s="22">
        <f>--Table1[[#This Row],[HOLIDAY]]</f>
        <v>0</v>
      </c>
      <c r="K330" s="9">
        <v>6</v>
      </c>
      <c r="L330" s="7">
        <v>2</v>
      </c>
      <c r="M330" s="7">
        <f>LEN(TEXT(Table1[[#This Row],[WEATHER]],"0"))</f>
        <v>1</v>
      </c>
      <c r="N330" s="36">
        <v>0.16</v>
      </c>
      <c r="O330" s="37">
        <f>VLOOKUP(Table1[[#This Row],[INSTANT]],[1]dataset_2!$A:$G,2,FALSE)</f>
        <v>0.31819999999999998</v>
      </c>
      <c r="P330" s="37">
        <f>VLOOKUP(Table1[[#This Row],[INSTANT]],[1]dataset_2!$A:$G,3,0)</f>
        <v>0.36</v>
      </c>
      <c r="Q330" s="37">
        <f>VLOOKUP(Table1[[#This Row],[INSTANT]],[1]dataset_2!$A:$D,4,FALSE)</f>
        <v>0.19400000000000001</v>
      </c>
      <c r="R330" s="37">
        <f>VLOOKUP(Table1[[#This Row],[INSTANT]],[1]dataset_2!$A:$G,5,0)</f>
        <v>21</v>
      </c>
      <c r="S330" s="38">
        <f>VLOOKUP(Table1[[#This Row],[INSTANT]],[1]dataset_2!$A:$G,6,0)</f>
        <v>108</v>
      </c>
      <c r="T330" s="38">
        <f>VLOOKUP(Table1[[#This Row],[INSTANT]],[1]dataset_2!$A:$G,7,0)</f>
        <v>129</v>
      </c>
    </row>
    <row r="331" spans="1:20" ht="13" x14ac:dyDescent="0.15">
      <c r="A331" s="35">
        <v>330</v>
      </c>
      <c r="B331" s="27">
        <v>40558</v>
      </c>
      <c r="C331" s="8" t="str">
        <f t="shared" si="10"/>
        <v>2011</v>
      </c>
      <c r="D331" s="8" t="str">
        <f t="shared" si="11"/>
        <v>15</v>
      </c>
      <c r="E331" s="7">
        <v>1</v>
      </c>
      <c r="F331" s="7">
        <v>0</v>
      </c>
      <c r="G331" s="7">
        <v>1</v>
      </c>
      <c r="H331" s="7">
        <v>5</v>
      </c>
      <c r="I331" s="7" t="b">
        <v>0</v>
      </c>
      <c r="J331" s="22">
        <f>--Table1[[#This Row],[HOLIDAY]]</f>
        <v>0</v>
      </c>
      <c r="K331" s="9">
        <v>6</v>
      </c>
      <c r="L331" s="7">
        <v>1</v>
      </c>
      <c r="M331" s="7">
        <f>LEN(TEXT(Table1[[#This Row],[WEATHER]],"0"))</f>
        <v>1</v>
      </c>
      <c r="N331" s="36">
        <v>0.16</v>
      </c>
      <c r="O331" s="37">
        <f>VLOOKUP(Table1[[#This Row],[INSTANT]],[1]dataset_2!$A:$G,2,FALSE)</f>
        <v>0.33329999999999999</v>
      </c>
      <c r="P331" s="37">
        <f>VLOOKUP(Table1[[#This Row],[INSTANT]],[1]dataset_2!$A:$G,3,0)</f>
        <v>0.34</v>
      </c>
      <c r="Q331" s="37">
        <f>VLOOKUP(Table1[[#This Row],[INSTANT]],[1]dataset_2!$A:$D,4,FALSE)</f>
        <v>0.19400000000000001</v>
      </c>
      <c r="R331" s="37">
        <f>VLOOKUP(Table1[[#This Row],[INSTANT]],[1]dataset_2!$A:$G,5,0)</f>
        <v>33</v>
      </c>
      <c r="S331" s="38">
        <f>VLOOKUP(Table1[[#This Row],[INSTANT]],[1]dataset_2!$A:$G,6,0)</f>
        <v>95</v>
      </c>
      <c r="T331" s="38">
        <f>VLOOKUP(Table1[[#This Row],[INSTANT]],[1]dataset_2!$A:$G,7,0)</f>
        <v>128</v>
      </c>
    </row>
    <row r="332" spans="1:20" ht="13" x14ac:dyDescent="0.15">
      <c r="A332" s="35">
        <v>331</v>
      </c>
      <c r="B332" s="27">
        <v>40558</v>
      </c>
      <c r="C332" s="8" t="str">
        <f t="shared" si="10"/>
        <v>2011</v>
      </c>
      <c r="D332" s="8" t="str">
        <f t="shared" si="11"/>
        <v>15</v>
      </c>
      <c r="E332" s="7">
        <v>1</v>
      </c>
      <c r="F332" s="7">
        <v>0</v>
      </c>
      <c r="G332" s="7">
        <v>1</v>
      </c>
      <c r="H332" s="7">
        <v>6</v>
      </c>
      <c r="I332" s="7" t="b">
        <v>0</v>
      </c>
      <c r="J332" s="22">
        <f>--Table1[[#This Row],[HOLIDAY]]</f>
        <v>0</v>
      </c>
      <c r="K332" s="9">
        <v>6</v>
      </c>
      <c r="L332" s="7">
        <v>1</v>
      </c>
      <c r="M332" s="7">
        <f>LEN(TEXT(Table1[[#This Row],[WEATHER]],"0"))</f>
        <v>1</v>
      </c>
      <c r="N332" s="36">
        <v>0.14000000000000001</v>
      </c>
      <c r="O332" s="37">
        <f>VLOOKUP(Table1[[#This Row],[INSTANT]],[1]dataset_2!$A:$G,2,FALSE)</f>
        <v>0.30299999999999999</v>
      </c>
      <c r="P332" s="37">
        <f>VLOOKUP(Table1[[#This Row],[INSTANT]],[1]dataset_2!$A:$G,3,0)</f>
        <v>0.36</v>
      </c>
      <c r="Q332" s="37">
        <f>VLOOKUP(Table1[[#This Row],[INSTANT]],[1]dataset_2!$A:$D,4,FALSE)</f>
        <v>0.28360000000000002</v>
      </c>
      <c r="R332" s="37">
        <f>VLOOKUP(Table1[[#This Row],[INSTANT]],[1]dataset_2!$A:$G,5,0)</f>
        <v>29</v>
      </c>
      <c r="S332" s="38">
        <f>VLOOKUP(Table1[[#This Row],[INSTANT]],[1]dataset_2!$A:$G,6,0)</f>
        <v>54</v>
      </c>
      <c r="T332" s="38">
        <f>VLOOKUP(Table1[[#This Row],[INSTANT]],[1]dataset_2!$A:$G,7,0)</f>
        <v>83</v>
      </c>
    </row>
    <row r="333" spans="1:20" ht="13" x14ac:dyDescent="0.15">
      <c r="A333" s="35">
        <v>332</v>
      </c>
      <c r="B333" s="27">
        <v>40558</v>
      </c>
      <c r="C333" s="8" t="str">
        <f t="shared" si="10"/>
        <v>2011</v>
      </c>
      <c r="D333" s="8" t="str">
        <f t="shared" si="11"/>
        <v>15</v>
      </c>
      <c r="E333" s="7">
        <v>1</v>
      </c>
      <c r="F333" s="7">
        <v>0</v>
      </c>
      <c r="G333" s="7">
        <v>1</v>
      </c>
      <c r="H333" s="7">
        <v>7</v>
      </c>
      <c r="I333" s="7" t="b">
        <v>0</v>
      </c>
      <c r="J333" s="22">
        <f>--Table1[[#This Row],[HOLIDAY]]</f>
        <v>0</v>
      </c>
      <c r="K333" s="9">
        <v>6</v>
      </c>
      <c r="L333" s="7">
        <v>1</v>
      </c>
      <c r="M333" s="7">
        <f>LEN(TEXT(Table1[[#This Row],[WEATHER]],"0"))</f>
        <v>1</v>
      </c>
      <c r="N333" s="36">
        <v>0.14000000000000001</v>
      </c>
      <c r="O333" s="37">
        <f>VLOOKUP(Table1[[#This Row],[INSTANT]],[1]dataset_2!$A:$G,2,FALSE)</f>
        <v>0.28789999999999999</v>
      </c>
      <c r="P333" s="37">
        <f>VLOOKUP(Table1[[#This Row],[INSTANT]],[1]dataset_2!$A:$G,3,0)</f>
        <v>0.45</v>
      </c>
      <c r="Q333" s="37">
        <f>VLOOKUP(Table1[[#This Row],[INSTANT]],[1]dataset_2!$A:$D,4,FALSE)</f>
        <v>0.25369999999999998</v>
      </c>
      <c r="R333" s="37">
        <f>VLOOKUP(Table1[[#This Row],[INSTANT]],[1]dataset_2!$A:$G,5,0)</f>
        <v>15</v>
      </c>
      <c r="S333" s="38">
        <f>VLOOKUP(Table1[[#This Row],[INSTANT]],[1]dataset_2!$A:$G,6,0)</f>
        <v>69</v>
      </c>
      <c r="T333" s="38">
        <f>VLOOKUP(Table1[[#This Row],[INSTANT]],[1]dataset_2!$A:$G,7,0)</f>
        <v>84</v>
      </c>
    </row>
    <row r="334" spans="1:20" ht="13" x14ac:dyDescent="0.15">
      <c r="A334" s="35">
        <v>333</v>
      </c>
      <c r="B334" s="27">
        <v>40558</v>
      </c>
      <c r="C334" s="8" t="str">
        <f t="shared" si="10"/>
        <v>2011</v>
      </c>
      <c r="D334" s="8" t="str">
        <f t="shared" si="11"/>
        <v>15</v>
      </c>
      <c r="E334" s="7">
        <v>1</v>
      </c>
      <c r="F334" s="7">
        <v>0</v>
      </c>
      <c r="G334" s="7">
        <v>1</v>
      </c>
      <c r="H334" s="7">
        <v>8</v>
      </c>
      <c r="I334" s="7" t="b">
        <v>0</v>
      </c>
      <c r="J334" s="22">
        <f>--Table1[[#This Row],[HOLIDAY]]</f>
        <v>0</v>
      </c>
      <c r="K334" s="9">
        <v>6</v>
      </c>
      <c r="L334" s="7">
        <v>1</v>
      </c>
      <c r="M334" s="7">
        <f>LEN(TEXT(Table1[[#This Row],[WEATHER]],"0"))</f>
        <v>1</v>
      </c>
      <c r="N334" s="36">
        <v>0.14000000000000001</v>
      </c>
      <c r="O334" s="37">
        <f>VLOOKUP(Table1[[#This Row],[INSTANT]],[1]dataset_2!$A:$G,2,FALSE)</f>
        <v>0.30299999999999999</v>
      </c>
      <c r="P334" s="37">
        <f>VLOOKUP(Table1[[#This Row],[INSTANT]],[1]dataset_2!$A:$G,3,0)</f>
        <v>0.39</v>
      </c>
      <c r="Q334" s="37">
        <f>VLOOKUP(Table1[[#This Row],[INSTANT]],[1]dataset_2!$A:$D,4,FALSE)</f>
        <v>0.25369999999999998</v>
      </c>
      <c r="R334" s="37">
        <f>VLOOKUP(Table1[[#This Row],[INSTANT]],[1]dataset_2!$A:$G,5,0)</f>
        <v>14</v>
      </c>
      <c r="S334" s="38">
        <f>VLOOKUP(Table1[[#This Row],[INSTANT]],[1]dataset_2!$A:$G,6,0)</f>
        <v>60</v>
      </c>
      <c r="T334" s="38">
        <f>VLOOKUP(Table1[[#This Row],[INSTANT]],[1]dataset_2!$A:$G,7,0)</f>
        <v>74</v>
      </c>
    </row>
    <row r="335" spans="1:20" ht="13" x14ac:dyDescent="0.15">
      <c r="A335" s="35">
        <v>334</v>
      </c>
      <c r="B335" s="27">
        <v>40558</v>
      </c>
      <c r="C335" s="8" t="str">
        <f t="shared" si="10"/>
        <v>2011</v>
      </c>
      <c r="D335" s="8" t="str">
        <f t="shared" si="11"/>
        <v>15</v>
      </c>
      <c r="E335" s="7">
        <v>1</v>
      </c>
      <c r="F335" s="7">
        <v>0</v>
      </c>
      <c r="G335" s="7">
        <v>1</v>
      </c>
      <c r="H335" s="7">
        <v>9</v>
      </c>
      <c r="I335" s="7" t="b">
        <v>0</v>
      </c>
      <c r="J335" s="22">
        <f>--Table1[[#This Row],[HOLIDAY]]</f>
        <v>0</v>
      </c>
      <c r="K335" s="9">
        <v>6</v>
      </c>
      <c r="L335" s="7">
        <v>1</v>
      </c>
      <c r="M335" s="7">
        <f>LEN(TEXT(Table1[[#This Row],[WEATHER]],"0"))</f>
        <v>1</v>
      </c>
      <c r="N335" s="36">
        <v>0.16</v>
      </c>
      <c r="O335" s="37">
        <f>VLOOKUP(Table1[[#This Row],[INSTANT]],[1]dataset_2!$A:$G,2,FALSE)</f>
        <v>0.30299999999999999</v>
      </c>
      <c r="P335" s="37">
        <f>VLOOKUP(Table1[[#This Row],[INSTANT]],[1]dataset_2!$A:$G,3,0)</f>
        <v>0.39</v>
      </c>
      <c r="Q335" s="37">
        <f>VLOOKUP(Table1[[#This Row],[INSTANT]],[1]dataset_2!$A:$D,4,FALSE)</f>
        <v>0.25369999999999998</v>
      </c>
      <c r="R335" s="37">
        <f>VLOOKUP(Table1[[#This Row],[INSTANT]],[1]dataset_2!$A:$G,5,0)</f>
        <v>6</v>
      </c>
      <c r="S335" s="38">
        <f>VLOOKUP(Table1[[#This Row],[INSTANT]],[1]dataset_2!$A:$G,6,0)</f>
        <v>35</v>
      </c>
      <c r="T335" s="38">
        <f>VLOOKUP(Table1[[#This Row],[INSTANT]],[1]dataset_2!$A:$G,7,0)</f>
        <v>41</v>
      </c>
    </row>
    <row r="336" spans="1:20" ht="13" x14ac:dyDescent="0.15">
      <c r="A336" s="35">
        <v>335</v>
      </c>
      <c r="B336" s="27">
        <v>40558</v>
      </c>
      <c r="C336" s="8" t="str">
        <f t="shared" si="10"/>
        <v>2011</v>
      </c>
      <c r="D336" s="8" t="str">
        <f t="shared" si="11"/>
        <v>15</v>
      </c>
      <c r="E336" s="7">
        <v>1</v>
      </c>
      <c r="F336" s="7">
        <v>0</v>
      </c>
      <c r="G336" s="7">
        <v>1</v>
      </c>
      <c r="H336" s="7">
        <v>10</v>
      </c>
      <c r="I336" s="7" t="b">
        <v>0</v>
      </c>
      <c r="J336" s="22">
        <f>--Table1[[#This Row],[HOLIDAY]]</f>
        <v>0</v>
      </c>
      <c r="K336" s="9">
        <v>6</v>
      </c>
      <c r="L336" s="7">
        <v>1</v>
      </c>
      <c r="M336" s="7">
        <f>LEN(TEXT(Table1[[#This Row],[WEATHER]],"0"))</f>
        <v>1</v>
      </c>
      <c r="N336" s="36">
        <v>0.18</v>
      </c>
      <c r="O336" s="37">
        <f>VLOOKUP(Table1[[#This Row],[INSTANT]],[1]dataset_2!$A:$G,2,FALSE)</f>
        <v>0.30299999999999999</v>
      </c>
      <c r="P336" s="37">
        <f>VLOOKUP(Table1[[#This Row],[INSTANT]],[1]dataset_2!$A:$G,3,0)</f>
        <v>0.39</v>
      </c>
      <c r="Q336" s="37">
        <f>VLOOKUP(Table1[[#This Row],[INSTANT]],[1]dataset_2!$A:$D,4,FALSE)</f>
        <v>0.22389999999999999</v>
      </c>
      <c r="R336" s="37">
        <f>VLOOKUP(Table1[[#This Row],[INSTANT]],[1]dataset_2!$A:$G,5,0)</f>
        <v>6</v>
      </c>
      <c r="S336" s="38">
        <f>VLOOKUP(Table1[[#This Row],[INSTANT]],[1]dataset_2!$A:$G,6,0)</f>
        <v>51</v>
      </c>
      <c r="T336" s="38">
        <f>VLOOKUP(Table1[[#This Row],[INSTANT]],[1]dataset_2!$A:$G,7,0)</f>
        <v>57</v>
      </c>
    </row>
    <row r="337" spans="1:20" ht="13" x14ac:dyDescent="0.15">
      <c r="A337" s="35">
        <v>336</v>
      </c>
      <c r="B337" s="27">
        <v>40558</v>
      </c>
      <c r="C337" s="8" t="str">
        <f t="shared" si="10"/>
        <v>2011</v>
      </c>
      <c r="D337" s="8" t="str">
        <f t="shared" si="11"/>
        <v>15</v>
      </c>
      <c r="E337" s="7">
        <v>1</v>
      </c>
      <c r="F337" s="7">
        <v>0</v>
      </c>
      <c r="G337" s="7">
        <v>1</v>
      </c>
      <c r="H337" s="7">
        <v>11</v>
      </c>
      <c r="I337" s="7" t="b">
        <v>0</v>
      </c>
      <c r="J337" s="22">
        <f>--Table1[[#This Row],[HOLIDAY]]</f>
        <v>0</v>
      </c>
      <c r="K337" s="9">
        <v>6</v>
      </c>
      <c r="L337" s="7">
        <v>1</v>
      </c>
      <c r="M337" s="7">
        <f>LEN(TEXT(Table1[[#This Row],[WEATHER]],"0"))</f>
        <v>1</v>
      </c>
      <c r="N337" s="36">
        <v>0.2</v>
      </c>
      <c r="O337" s="37">
        <f>VLOOKUP(Table1[[#This Row],[INSTANT]],[1]dataset_2!$A:$G,2,FALSE)</f>
        <v>0.31819999999999998</v>
      </c>
      <c r="P337" s="37">
        <f>VLOOKUP(Table1[[#This Row],[INSTANT]],[1]dataset_2!$A:$G,3,0)</f>
        <v>0.42</v>
      </c>
      <c r="Q337" s="37">
        <f>VLOOKUP(Table1[[#This Row],[INSTANT]],[1]dataset_2!$A:$D,4,FALSE)</f>
        <v>0.1045</v>
      </c>
      <c r="R337" s="37">
        <f>VLOOKUP(Table1[[#This Row],[INSTANT]],[1]dataset_2!$A:$G,5,0)</f>
        <v>0</v>
      </c>
      <c r="S337" s="38">
        <f>VLOOKUP(Table1[[#This Row],[INSTANT]],[1]dataset_2!$A:$G,6,0)</f>
        <v>26</v>
      </c>
      <c r="T337" s="38">
        <f>VLOOKUP(Table1[[#This Row],[INSTANT]],[1]dataset_2!$A:$G,7,0)</f>
        <v>26</v>
      </c>
    </row>
    <row r="338" spans="1:20" ht="13" x14ac:dyDescent="0.15">
      <c r="A338" s="35">
        <v>337</v>
      </c>
      <c r="B338" s="27">
        <v>40558</v>
      </c>
      <c r="C338" s="8" t="str">
        <f t="shared" si="10"/>
        <v>2011</v>
      </c>
      <c r="D338" s="8" t="str">
        <f t="shared" si="11"/>
        <v>15</v>
      </c>
      <c r="E338" s="7">
        <v>1</v>
      </c>
      <c r="F338" s="7">
        <v>0</v>
      </c>
      <c r="G338" s="7">
        <v>1</v>
      </c>
      <c r="H338" s="7">
        <v>12</v>
      </c>
      <c r="I338" s="7" t="b">
        <v>0</v>
      </c>
      <c r="J338" s="22">
        <f>--Table1[[#This Row],[HOLIDAY]]</f>
        <v>0</v>
      </c>
      <c r="K338" s="9">
        <v>6</v>
      </c>
      <c r="L338" s="7">
        <v>1</v>
      </c>
      <c r="M338" s="7">
        <f>LEN(TEXT(Table1[[#This Row],[WEATHER]],"0"))</f>
        <v>1</v>
      </c>
      <c r="N338" s="36">
        <v>0.24</v>
      </c>
      <c r="O338" s="37">
        <f>VLOOKUP(Table1[[#This Row],[INSTANT]],[1]dataset_2!$A:$G,2,FALSE)</f>
        <v>0.28789999999999999</v>
      </c>
      <c r="P338" s="37">
        <f>VLOOKUP(Table1[[#This Row],[INSTANT]],[1]dataset_2!$A:$G,3,0)</f>
        <v>0.45</v>
      </c>
      <c r="Q338" s="37">
        <f>VLOOKUP(Table1[[#This Row],[INSTANT]],[1]dataset_2!$A:$D,4,FALSE)</f>
        <v>0.28360000000000002</v>
      </c>
      <c r="R338" s="37">
        <f>VLOOKUP(Table1[[#This Row],[INSTANT]],[1]dataset_2!$A:$G,5,0)</f>
        <v>5</v>
      </c>
      <c r="S338" s="38">
        <f>VLOOKUP(Table1[[#This Row],[INSTANT]],[1]dataset_2!$A:$G,6,0)</f>
        <v>39</v>
      </c>
      <c r="T338" s="38">
        <f>VLOOKUP(Table1[[#This Row],[INSTANT]],[1]dataset_2!$A:$G,7,0)</f>
        <v>44</v>
      </c>
    </row>
    <row r="339" spans="1:20" ht="13" x14ac:dyDescent="0.15">
      <c r="A339" s="35">
        <v>338</v>
      </c>
      <c r="B339" s="27">
        <v>40558</v>
      </c>
      <c r="C339" s="8" t="str">
        <f t="shared" si="10"/>
        <v>2011</v>
      </c>
      <c r="D339" s="8" t="str">
        <f t="shared" si="11"/>
        <v>15</v>
      </c>
      <c r="E339" s="7">
        <v>1</v>
      </c>
      <c r="F339" s="7">
        <v>0</v>
      </c>
      <c r="G339" s="7">
        <v>1</v>
      </c>
      <c r="H339" s="7">
        <v>13</v>
      </c>
      <c r="I339" s="7" t="b">
        <v>0</v>
      </c>
      <c r="J339" s="22">
        <f>--Table1[[#This Row],[HOLIDAY]]</f>
        <v>0</v>
      </c>
      <c r="K339" s="9">
        <v>6</v>
      </c>
      <c r="L339" s="7">
        <v>1</v>
      </c>
      <c r="M339" s="7">
        <f>LEN(TEXT(Table1[[#This Row],[WEATHER]],"0"))</f>
        <v>1</v>
      </c>
      <c r="N339" s="36">
        <v>0.28000000000000003</v>
      </c>
      <c r="O339" s="37">
        <f>VLOOKUP(Table1[[#This Row],[INSTANT]],[1]dataset_2!$A:$G,2,FALSE)</f>
        <v>0.30299999999999999</v>
      </c>
      <c r="P339" s="37">
        <f>VLOOKUP(Table1[[#This Row],[INSTANT]],[1]dataset_2!$A:$G,3,0)</f>
        <v>0.56000000000000005</v>
      </c>
      <c r="Q339" s="37">
        <f>VLOOKUP(Table1[[#This Row],[INSTANT]],[1]dataset_2!$A:$D,4,FALSE)</f>
        <v>0</v>
      </c>
      <c r="R339" s="37">
        <f>VLOOKUP(Table1[[#This Row],[INSTANT]],[1]dataset_2!$A:$G,5,0)</f>
        <v>6</v>
      </c>
      <c r="S339" s="38">
        <f>VLOOKUP(Table1[[#This Row],[INSTANT]],[1]dataset_2!$A:$G,6,0)</f>
        <v>33</v>
      </c>
      <c r="T339" s="38">
        <f>VLOOKUP(Table1[[#This Row],[INSTANT]],[1]dataset_2!$A:$G,7,0)</f>
        <v>39</v>
      </c>
    </row>
    <row r="340" spans="1:20" ht="13" x14ac:dyDescent="0.15">
      <c r="A340" s="35">
        <v>339</v>
      </c>
      <c r="B340" s="27">
        <v>40558</v>
      </c>
      <c r="C340" s="8" t="str">
        <f t="shared" si="10"/>
        <v>2011</v>
      </c>
      <c r="D340" s="8" t="str">
        <f t="shared" si="11"/>
        <v>15</v>
      </c>
      <c r="E340" s="7">
        <v>1</v>
      </c>
      <c r="F340" s="7">
        <v>0</v>
      </c>
      <c r="G340" s="7">
        <v>1</v>
      </c>
      <c r="H340" s="7">
        <v>14</v>
      </c>
      <c r="I340" s="7" t="b">
        <v>0</v>
      </c>
      <c r="J340" s="22">
        <f>--Table1[[#This Row],[HOLIDAY]]</f>
        <v>0</v>
      </c>
      <c r="K340" s="9">
        <v>6</v>
      </c>
      <c r="L340" s="7">
        <v>1</v>
      </c>
      <c r="M340" s="7">
        <f>LEN(TEXT(Table1[[#This Row],[WEATHER]],"0"))</f>
        <v>1</v>
      </c>
      <c r="N340" s="36">
        <v>0.3</v>
      </c>
      <c r="O340" s="37">
        <f>VLOOKUP(Table1[[#This Row],[INSTANT]],[1]dataset_2!$A:$G,2,FALSE)</f>
        <v>0.2727</v>
      </c>
      <c r="P340" s="37">
        <f>VLOOKUP(Table1[[#This Row],[INSTANT]],[1]dataset_2!$A:$G,3,0)</f>
        <v>0.56000000000000005</v>
      </c>
      <c r="Q340" s="37">
        <f>VLOOKUP(Table1[[#This Row],[INSTANT]],[1]dataset_2!$A:$D,4,FALSE)</f>
        <v>0.1343</v>
      </c>
      <c r="R340" s="37">
        <f>VLOOKUP(Table1[[#This Row],[INSTANT]],[1]dataset_2!$A:$G,5,0)</f>
        <v>4</v>
      </c>
      <c r="S340" s="38">
        <f>VLOOKUP(Table1[[#This Row],[INSTANT]],[1]dataset_2!$A:$G,6,0)</f>
        <v>19</v>
      </c>
      <c r="T340" s="38">
        <f>VLOOKUP(Table1[[#This Row],[INSTANT]],[1]dataset_2!$A:$G,7,0)</f>
        <v>23</v>
      </c>
    </row>
    <row r="341" spans="1:20" ht="13" x14ac:dyDescent="0.15">
      <c r="A341" s="35">
        <v>340</v>
      </c>
      <c r="B341" s="27">
        <v>40558</v>
      </c>
      <c r="C341" s="8" t="str">
        <f t="shared" si="10"/>
        <v>2011</v>
      </c>
      <c r="D341" s="8" t="str">
        <f t="shared" si="11"/>
        <v>15</v>
      </c>
      <c r="E341" s="7">
        <v>1</v>
      </c>
      <c r="F341" s="7">
        <v>0</v>
      </c>
      <c r="G341" s="7">
        <v>1</v>
      </c>
      <c r="H341" s="7">
        <v>15</v>
      </c>
      <c r="I341" s="7" t="b">
        <v>0</v>
      </c>
      <c r="J341" s="22">
        <f>--Table1[[#This Row],[HOLIDAY]]</f>
        <v>0</v>
      </c>
      <c r="K341" s="9">
        <v>6</v>
      </c>
      <c r="L341" s="7">
        <v>2</v>
      </c>
      <c r="M341" s="7">
        <f>LEN(TEXT(Table1[[#This Row],[WEATHER]],"0"))</f>
        <v>1</v>
      </c>
      <c r="N341" s="36">
        <v>0.32</v>
      </c>
      <c r="O341" s="37">
        <f>VLOOKUP(Table1[[#This Row],[INSTANT]],[1]dataset_2!$A:$G,2,FALSE)</f>
        <v>0.28789999999999999</v>
      </c>
      <c r="P341" s="37">
        <f>VLOOKUP(Table1[[#This Row],[INSTANT]],[1]dataset_2!$A:$G,3,0)</f>
        <v>0.56000000000000005</v>
      </c>
      <c r="Q341" s="37">
        <f>VLOOKUP(Table1[[#This Row],[INSTANT]],[1]dataset_2!$A:$D,4,FALSE)</f>
        <v>8.9599999999999999E-2</v>
      </c>
      <c r="R341" s="37">
        <f>VLOOKUP(Table1[[#This Row],[INSTANT]],[1]dataset_2!$A:$G,5,0)</f>
        <v>3</v>
      </c>
      <c r="S341" s="38">
        <f>VLOOKUP(Table1[[#This Row],[INSTANT]],[1]dataset_2!$A:$G,6,0)</f>
        <v>13</v>
      </c>
      <c r="T341" s="38">
        <f>VLOOKUP(Table1[[#This Row],[INSTANT]],[1]dataset_2!$A:$G,7,0)</f>
        <v>16</v>
      </c>
    </row>
    <row r="342" spans="1:20" ht="13" x14ac:dyDescent="0.15">
      <c r="A342" s="35">
        <v>341</v>
      </c>
      <c r="B342" s="27">
        <v>40558</v>
      </c>
      <c r="C342" s="8" t="str">
        <f t="shared" si="10"/>
        <v>2011</v>
      </c>
      <c r="D342" s="8" t="str">
        <f t="shared" si="11"/>
        <v>15</v>
      </c>
      <c r="E342" s="7">
        <v>1</v>
      </c>
      <c r="F342" s="7">
        <v>0</v>
      </c>
      <c r="G342" s="7">
        <v>1</v>
      </c>
      <c r="H342" s="7">
        <v>16</v>
      </c>
      <c r="I342" s="7" t="b">
        <v>0</v>
      </c>
      <c r="J342" s="22">
        <f>--Table1[[#This Row],[HOLIDAY]]</f>
        <v>0</v>
      </c>
      <c r="K342" s="9">
        <v>6</v>
      </c>
      <c r="L342" s="7">
        <v>2</v>
      </c>
      <c r="M342" s="7">
        <f>LEN(TEXT(Table1[[#This Row],[WEATHER]],"0"))</f>
        <v>1</v>
      </c>
      <c r="N342" s="36">
        <v>0.34</v>
      </c>
      <c r="O342" s="37">
        <f>VLOOKUP(Table1[[#This Row],[INSTANT]],[1]dataset_2!$A:$G,2,FALSE)</f>
        <v>0.2727</v>
      </c>
      <c r="P342" s="37">
        <f>VLOOKUP(Table1[[#This Row],[INSTANT]],[1]dataset_2!$A:$G,3,0)</f>
        <v>0.69</v>
      </c>
      <c r="Q342" s="37">
        <f>VLOOKUP(Table1[[#This Row],[INSTANT]],[1]dataset_2!$A:$D,4,FALSE)</f>
        <v>0</v>
      </c>
      <c r="R342" s="37">
        <f>VLOOKUP(Table1[[#This Row],[INSTANT]],[1]dataset_2!$A:$G,5,0)</f>
        <v>9</v>
      </c>
      <c r="S342" s="38">
        <f>VLOOKUP(Table1[[#This Row],[INSTANT]],[1]dataset_2!$A:$G,6,0)</f>
        <v>6</v>
      </c>
      <c r="T342" s="38">
        <f>VLOOKUP(Table1[[#This Row],[INSTANT]],[1]dataset_2!$A:$G,7,0)</f>
        <v>15</v>
      </c>
    </row>
    <row r="343" spans="1:20" ht="13" x14ac:dyDescent="0.15">
      <c r="A343" s="35">
        <v>342</v>
      </c>
      <c r="B343" s="27">
        <v>40558</v>
      </c>
      <c r="C343" s="8" t="str">
        <f t="shared" si="10"/>
        <v>2011</v>
      </c>
      <c r="D343" s="8" t="str">
        <f t="shared" si="11"/>
        <v>15</v>
      </c>
      <c r="E343" s="7">
        <v>1</v>
      </c>
      <c r="F343" s="7">
        <v>0</v>
      </c>
      <c r="G343" s="7">
        <v>1</v>
      </c>
      <c r="H343" s="7">
        <v>17</v>
      </c>
      <c r="I343" s="7" t="b">
        <v>0</v>
      </c>
      <c r="J343" s="22">
        <f>--Table1[[#This Row],[HOLIDAY]]</f>
        <v>0</v>
      </c>
      <c r="K343" s="9">
        <v>6</v>
      </c>
      <c r="L343" s="7">
        <v>2</v>
      </c>
      <c r="M343" s="7">
        <f>LEN(TEXT(Table1[[#This Row],[WEATHER]],"0"))</f>
        <v>1</v>
      </c>
      <c r="N343" s="36">
        <v>0.32</v>
      </c>
      <c r="O343" s="37">
        <f>VLOOKUP(Table1[[#This Row],[INSTANT]],[1]dataset_2!$A:$G,2,FALSE)</f>
        <v>0.2576</v>
      </c>
      <c r="P343" s="37">
        <f>VLOOKUP(Table1[[#This Row],[INSTANT]],[1]dataset_2!$A:$G,3,0)</f>
        <v>0.56000000000000005</v>
      </c>
      <c r="Q343" s="37">
        <f>VLOOKUP(Table1[[#This Row],[INSTANT]],[1]dataset_2!$A:$D,4,FALSE)</f>
        <v>0.16420000000000001</v>
      </c>
      <c r="R343" s="37">
        <f>VLOOKUP(Table1[[#This Row],[INSTANT]],[1]dataset_2!$A:$G,5,0)</f>
        <v>0</v>
      </c>
      <c r="S343" s="38">
        <f>VLOOKUP(Table1[[#This Row],[INSTANT]],[1]dataset_2!$A:$G,6,0)</f>
        <v>1</v>
      </c>
      <c r="T343" s="38">
        <f>VLOOKUP(Table1[[#This Row],[INSTANT]],[1]dataset_2!$A:$G,7,0)</f>
        <v>1</v>
      </c>
    </row>
    <row r="344" spans="1:20" ht="13" x14ac:dyDescent="0.15">
      <c r="A344" s="35">
        <v>343</v>
      </c>
      <c r="B344" s="27">
        <v>40558</v>
      </c>
      <c r="C344" s="8" t="str">
        <f t="shared" si="10"/>
        <v>2011</v>
      </c>
      <c r="D344" s="8" t="str">
        <f t="shared" si="11"/>
        <v>15</v>
      </c>
      <c r="E344" s="7">
        <v>1</v>
      </c>
      <c r="F344" s="7">
        <v>0</v>
      </c>
      <c r="G344" s="7">
        <v>1</v>
      </c>
      <c r="H344" s="7">
        <v>18</v>
      </c>
      <c r="I344" s="7" t="b">
        <v>0</v>
      </c>
      <c r="J344" s="22">
        <f>--Table1[[#This Row],[HOLIDAY]]</f>
        <v>0</v>
      </c>
      <c r="K344" s="9">
        <v>6</v>
      </c>
      <c r="L344" s="7">
        <v>2</v>
      </c>
      <c r="M344" s="7">
        <f>LEN(TEXT(Table1[[#This Row],[WEATHER]],"0"))</f>
        <v>1</v>
      </c>
      <c r="N344" s="36">
        <v>0.3</v>
      </c>
      <c r="O344" s="37">
        <f>VLOOKUP(Table1[[#This Row],[INSTANT]],[1]dataset_2!$A:$G,2,FALSE)</f>
        <v>0.2576</v>
      </c>
      <c r="P344" s="37">
        <f>VLOOKUP(Table1[[#This Row],[INSTANT]],[1]dataset_2!$A:$G,3,0)</f>
        <v>0.56000000000000005</v>
      </c>
      <c r="Q344" s="37">
        <f>VLOOKUP(Table1[[#This Row],[INSTANT]],[1]dataset_2!$A:$D,4,FALSE)</f>
        <v>0.16420000000000001</v>
      </c>
      <c r="R344" s="37">
        <f>VLOOKUP(Table1[[#This Row],[INSTANT]],[1]dataset_2!$A:$G,5,0)</f>
        <v>1</v>
      </c>
      <c r="S344" s="38">
        <f>VLOOKUP(Table1[[#This Row],[INSTANT]],[1]dataset_2!$A:$G,6,0)</f>
        <v>1</v>
      </c>
      <c r="T344" s="38">
        <f>VLOOKUP(Table1[[#This Row],[INSTANT]],[1]dataset_2!$A:$G,7,0)</f>
        <v>2</v>
      </c>
    </row>
    <row r="345" spans="1:20" ht="13" x14ac:dyDescent="0.15">
      <c r="A345" s="35">
        <v>344</v>
      </c>
      <c r="B345" s="27">
        <v>40558</v>
      </c>
      <c r="C345" s="8" t="str">
        <f t="shared" si="10"/>
        <v>2011</v>
      </c>
      <c r="D345" s="8" t="str">
        <f t="shared" si="11"/>
        <v>15</v>
      </c>
      <c r="E345" s="7">
        <v>1</v>
      </c>
      <c r="F345" s="7">
        <v>0</v>
      </c>
      <c r="G345" s="7">
        <v>1</v>
      </c>
      <c r="H345" s="7">
        <v>19</v>
      </c>
      <c r="I345" s="7" t="b">
        <v>0</v>
      </c>
      <c r="J345" s="22">
        <f>--Table1[[#This Row],[HOLIDAY]]</f>
        <v>0</v>
      </c>
      <c r="K345" s="9">
        <v>6</v>
      </c>
      <c r="L345" s="7">
        <v>2</v>
      </c>
      <c r="M345" s="7">
        <f>LEN(TEXT(Table1[[#This Row],[WEATHER]],"0"))</f>
        <v>1</v>
      </c>
      <c r="N345" s="36">
        <v>0.32</v>
      </c>
      <c r="O345" s="37">
        <f>VLOOKUP(Table1[[#This Row],[INSTANT]],[1]dataset_2!$A:$G,2,FALSE)</f>
        <v>0.2576</v>
      </c>
      <c r="P345" s="37">
        <f>VLOOKUP(Table1[[#This Row],[INSTANT]],[1]dataset_2!$A:$G,3,0)</f>
        <v>0.56000000000000005</v>
      </c>
      <c r="Q345" s="37">
        <f>VLOOKUP(Table1[[#This Row],[INSTANT]],[1]dataset_2!$A:$D,4,FALSE)</f>
        <v>0.16420000000000001</v>
      </c>
      <c r="R345" s="37">
        <f>VLOOKUP(Table1[[#This Row],[INSTANT]],[1]dataset_2!$A:$G,5,0)</f>
        <v>0</v>
      </c>
      <c r="S345" s="38">
        <f>VLOOKUP(Table1[[#This Row],[INSTANT]],[1]dataset_2!$A:$G,6,0)</f>
        <v>1</v>
      </c>
      <c r="T345" s="38">
        <f>VLOOKUP(Table1[[#This Row],[INSTANT]],[1]dataset_2!$A:$G,7,0)</f>
        <v>1</v>
      </c>
    </row>
    <row r="346" spans="1:20" ht="13" x14ac:dyDescent="0.15">
      <c r="A346" s="35">
        <v>345</v>
      </c>
      <c r="B346" s="27">
        <v>40558</v>
      </c>
      <c r="C346" s="8" t="str">
        <f t="shared" si="10"/>
        <v>2011</v>
      </c>
      <c r="D346" s="8" t="str">
        <f t="shared" si="11"/>
        <v>15</v>
      </c>
      <c r="E346" s="7">
        <v>1</v>
      </c>
      <c r="F346" s="7">
        <v>0</v>
      </c>
      <c r="G346" s="7">
        <v>1</v>
      </c>
      <c r="H346" s="7">
        <v>20</v>
      </c>
      <c r="I346" s="7" t="b">
        <v>0</v>
      </c>
      <c r="J346" s="22">
        <f>--Table1[[#This Row],[HOLIDAY]]</f>
        <v>0</v>
      </c>
      <c r="K346" s="9">
        <v>6</v>
      </c>
      <c r="L346" s="7">
        <v>2</v>
      </c>
      <c r="M346" s="7">
        <f>LEN(TEXT(Table1[[#This Row],[WEATHER]],"0"))</f>
        <v>1</v>
      </c>
      <c r="N346" s="36">
        <v>0.32</v>
      </c>
      <c r="O346" s="37">
        <f>VLOOKUP(Table1[[#This Row],[INSTANT]],[1]dataset_2!$A:$G,2,FALSE)</f>
        <v>0.21210000000000001</v>
      </c>
      <c r="P346" s="37">
        <f>VLOOKUP(Table1[[#This Row],[INSTANT]],[1]dataset_2!$A:$G,3,0)</f>
        <v>0.56000000000000005</v>
      </c>
      <c r="Q346" s="37">
        <f>VLOOKUP(Table1[[#This Row],[INSTANT]],[1]dataset_2!$A:$D,4,FALSE)</f>
        <v>0.29849999999999999</v>
      </c>
      <c r="R346" s="37">
        <f>VLOOKUP(Table1[[#This Row],[INSTANT]],[1]dataset_2!$A:$G,5,0)</f>
        <v>0</v>
      </c>
      <c r="S346" s="38">
        <f>VLOOKUP(Table1[[#This Row],[INSTANT]],[1]dataset_2!$A:$G,6,0)</f>
        <v>3</v>
      </c>
      <c r="T346" s="38">
        <f>VLOOKUP(Table1[[#This Row],[INSTANT]],[1]dataset_2!$A:$G,7,0)</f>
        <v>3</v>
      </c>
    </row>
    <row r="347" spans="1:20" ht="13" x14ac:dyDescent="0.15">
      <c r="A347" s="35">
        <v>346</v>
      </c>
      <c r="B347" s="27">
        <v>40558</v>
      </c>
      <c r="C347" s="8" t="str">
        <f t="shared" si="10"/>
        <v>2011</v>
      </c>
      <c r="D347" s="8" t="str">
        <f t="shared" si="11"/>
        <v>15</v>
      </c>
      <c r="E347" s="7">
        <v>1</v>
      </c>
      <c r="F347" s="7">
        <v>0</v>
      </c>
      <c r="G347" s="7">
        <v>1</v>
      </c>
      <c r="H347" s="7">
        <v>21</v>
      </c>
      <c r="I347" s="7" t="b">
        <v>0</v>
      </c>
      <c r="J347" s="22">
        <f>--Table1[[#This Row],[HOLIDAY]]</f>
        <v>0</v>
      </c>
      <c r="K347" s="9">
        <v>6</v>
      </c>
      <c r="L347" s="7">
        <v>2</v>
      </c>
      <c r="M347" s="7">
        <f>LEN(TEXT(Table1[[#This Row],[WEATHER]],"0"))</f>
        <v>1</v>
      </c>
      <c r="N347" s="36">
        <v>0.32</v>
      </c>
      <c r="O347" s="37">
        <f>VLOOKUP(Table1[[#This Row],[INSTANT]],[1]dataset_2!$A:$G,2,FALSE)</f>
        <v>0.21210000000000001</v>
      </c>
      <c r="P347" s="37">
        <f>VLOOKUP(Table1[[#This Row],[INSTANT]],[1]dataset_2!$A:$G,3,0)</f>
        <v>0.55000000000000004</v>
      </c>
      <c r="Q347" s="37">
        <f>VLOOKUP(Table1[[#This Row],[INSTANT]],[1]dataset_2!$A:$D,4,FALSE)</f>
        <v>0.28360000000000002</v>
      </c>
      <c r="R347" s="37">
        <f>VLOOKUP(Table1[[#This Row],[INSTANT]],[1]dataset_2!$A:$G,5,0)</f>
        <v>0</v>
      </c>
      <c r="S347" s="38">
        <f>VLOOKUP(Table1[[#This Row],[INSTANT]],[1]dataset_2!$A:$G,6,0)</f>
        <v>18</v>
      </c>
      <c r="T347" s="38">
        <f>VLOOKUP(Table1[[#This Row],[INSTANT]],[1]dataset_2!$A:$G,7,0)</f>
        <v>18</v>
      </c>
    </row>
    <row r="348" spans="1:20" ht="13" x14ac:dyDescent="0.15">
      <c r="A348" s="35">
        <v>347</v>
      </c>
      <c r="B348" s="27">
        <v>40558</v>
      </c>
      <c r="C348" s="8" t="str">
        <f t="shared" si="10"/>
        <v>2011</v>
      </c>
      <c r="D348" s="8" t="str">
        <f t="shared" si="11"/>
        <v>15</v>
      </c>
      <c r="E348" s="7">
        <v>1</v>
      </c>
      <c r="F348" s="7">
        <v>0</v>
      </c>
      <c r="G348" s="7">
        <v>1</v>
      </c>
      <c r="H348" s="7">
        <v>22</v>
      </c>
      <c r="I348" s="7" t="b">
        <v>0</v>
      </c>
      <c r="J348" s="22">
        <f>--Table1[[#This Row],[HOLIDAY]]</f>
        <v>0</v>
      </c>
      <c r="K348" s="9">
        <v>6</v>
      </c>
      <c r="L348" s="7">
        <v>2</v>
      </c>
      <c r="M348" s="7">
        <f>LEN(TEXT(Table1[[#This Row],[WEATHER]],"0"))</f>
        <v>1</v>
      </c>
      <c r="N348" s="36">
        <v>0.3</v>
      </c>
      <c r="O348" s="37">
        <f>VLOOKUP(Table1[[#This Row],[INSTANT]],[1]dataset_2!$A:$G,2,FALSE)</f>
        <v>0.21210000000000001</v>
      </c>
      <c r="P348" s="37">
        <f>VLOOKUP(Table1[[#This Row],[INSTANT]],[1]dataset_2!$A:$G,3,0)</f>
        <v>0.51</v>
      </c>
      <c r="Q348" s="37">
        <f>VLOOKUP(Table1[[#This Row],[INSTANT]],[1]dataset_2!$A:$D,4,FALSE)</f>
        <v>0.25369999999999998</v>
      </c>
      <c r="R348" s="37">
        <f>VLOOKUP(Table1[[#This Row],[INSTANT]],[1]dataset_2!$A:$G,5,0)</f>
        <v>3</v>
      </c>
      <c r="S348" s="38">
        <f>VLOOKUP(Table1[[#This Row],[INSTANT]],[1]dataset_2!$A:$G,6,0)</f>
        <v>29</v>
      </c>
      <c r="T348" s="38">
        <f>VLOOKUP(Table1[[#This Row],[INSTANT]],[1]dataset_2!$A:$G,7,0)</f>
        <v>32</v>
      </c>
    </row>
    <row r="349" spans="1:20" ht="13" x14ac:dyDescent="0.15">
      <c r="A349" s="35">
        <v>348</v>
      </c>
      <c r="B349" s="27">
        <v>40558</v>
      </c>
      <c r="C349" s="8" t="str">
        <f t="shared" si="10"/>
        <v>2011</v>
      </c>
      <c r="D349" s="8" t="str">
        <f t="shared" si="11"/>
        <v>15</v>
      </c>
      <c r="E349" s="7">
        <v>1</v>
      </c>
      <c r="F349" s="7">
        <v>0</v>
      </c>
      <c r="G349" s="7">
        <v>1</v>
      </c>
      <c r="H349" s="7">
        <v>23</v>
      </c>
      <c r="I349" s="7" t="b">
        <v>0</v>
      </c>
      <c r="J349" s="22">
        <f>--Table1[[#This Row],[HOLIDAY]]</f>
        <v>0</v>
      </c>
      <c r="K349" s="9">
        <v>6</v>
      </c>
      <c r="L349" s="7">
        <v>1</v>
      </c>
      <c r="M349" s="7">
        <f>LEN(TEXT(Table1[[#This Row],[WEATHER]],"0"))</f>
        <v>1</v>
      </c>
      <c r="N349" s="36">
        <v>0.3</v>
      </c>
      <c r="O349" s="37">
        <f>VLOOKUP(Table1[[#This Row],[INSTANT]],[1]dataset_2!$A:$G,2,FALSE)</f>
        <v>0.21210000000000001</v>
      </c>
      <c r="P349" s="37">
        <f>VLOOKUP(Table1[[#This Row],[INSTANT]],[1]dataset_2!$A:$G,3,0)</f>
        <v>0.51</v>
      </c>
      <c r="Q349" s="37">
        <f>VLOOKUP(Table1[[#This Row],[INSTANT]],[1]dataset_2!$A:$D,4,FALSE)</f>
        <v>0.28360000000000002</v>
      </c>
      <c r="R349" s="37">
        <f>VLOOKUP(Table1[[#This Row],[INSTANT]],[1]dataset_2!$A:$G,5,0)</f>
        <v>8</v>
      </c>
      <c r="S349" s="38">
        <f>VLOOKUP(Table1[[#This Row],[INSTANT]],[1]dataset_2!$A:$G,6,0)</f>
        <v>71</v>
      </c>
      <c r="T349" s="38">
        <f>VLOOKUP(Table1[[#This Row],[INSTANT]],[1]dataset_2!$A:$G,7,0)</f>
        <v>79</v>
      </c>
    </row>
    <row r="350" spans="1:20" ht="13" x14ac:dyDescent="0.15">
      <c r="A350" s="35">
        <v>349</v>
      </c>
      <c r="B350" s="27">
        <v>40559</v>
      </c>
      <c r="C350" s="8" t="str">
        <f t="shared" si="10"/>
        <v>2011</v>
      </c>
      <c r="D350" s="8" t="str">
        <f t="shared" si="11"/>
        <v>16</v>
      </c>
      <c r="E350" s="7">
        <v>1</v>
      </c>
      <c r="F350" s="7">
        <v>0</v>
      </c>
      <c r="G350" s="7">
        <v>1</v>
      </c>
      <c r="H350" s="7">
        <v>0</v>
      </c>
      <c r="I350" s="7" t="b">
        <v>0</v>
      </c>
      <c r="J350" s="22">
        <f>--Table1[[#This Row],[HOLIDAY]]</f>
        <v>0</v>
      </c>
      <c r="K350" s="9">
        <v>0</v>
      </c>
      <c r="L350" s="7">
        <v>1</v>
      </c>
      <c r="M350" s="7">
        <f>LEN(TEXT(Table1[[#This Row],[WEATHER]],"0"))</f>
        <v>1</v>
      </c>
      <c r="N350" s="36">
        <v>0.26</v>
      </c>
      <c r="O350" s="37">
        <f>VLOOKUP(Table1[[#This Row],[INSTANT]],[1]dataset_2!$A:$G,2,FALSE)</f>
        <v>0.2273</v>
      </c>
      <c r="P350" s="37">
        <f>VLOOKUP(Table1[[#This Row],[INSTANT]],[1]dataset_2!$A:$G,3,0)</f>
        <v>0.44</v>
      </c>
      <c r="Q350" s="37">
        <f>VLOOKUP(Table1[[#This Row],[INSTANT]],[1]dataset_2!$A:$D,4,FALSE)</f>
        <v>0.25369999999999998</v>
      </c>
      <c r="R350" s="37">
        <f>VLOOKUP(Table1[[#This Row],[INSTANT]],[1]dataset_2!$A:$G,5,0)</f>
        <v>23</v>
      </c>
      <c r="S350" s="38">
        <f>VLOOKUP(Table1[[#This Row],[INSTANT]],[1]dataset_2!$A:$G,6,0)</f>
        <v>70</v>
      </c>
      <c r="T350" s="38">
        <f>VLOOKUP(Table1[[#This Row],[INSTANT]],[1]dataset_2!$A:$G,7,0)</f>
        <v>93</v>
      </c>
    </row>
    <row r="351" spans="1:20" ht="13" x14ac:dyDescent="0.15">
      <c r="A351" s="35">
        <v>350</v>
      </c>
      <c r="B351" s="27">
        <v>40559</v>
      </c>
      <c r="C351" s="8" t="str">
        <f t="shared" si="10"/>
        <v>2011</v>
      </c>
      <c r="D351" s="8" t="str">
        <f t="shared" si="11"/>
        <v>16</v>
      </c>
      <c r="E351" s="7">
        <v>1</v>
      </c>
      <c r="F351" s="7">
        <v>0</v>
      </c>
      <c r="G351" s="7">
        <v>1</v>
      </c>
      <c r="H351" s="7">
        <v>1</v>
      </c>
      <c r="I351" s="7" t="b">
        <v>0</v>
      </c>
      <c r="J351" s="22">
        <f>--Table1[[#This Row],[HOLIDAY]]</f>
        <v>0</v>
      </c>
      <c r="K351" s="9">
        <v>0</v>
      </c>
      <c r="L351" s="7">
        <v>1</v>
      </c>
      <c r="M351" s="7">
        <f>LEN(TEXT(Table1[[#This Row],[WEATHER]],"0"))</f>
        <v>1</v>
      </c>
      <c r="N351" s="36">
        <v>0.26</v>
      </c>
      <c r="O351" s="37">
        <f>VLOOKUP(Table1[[#This Row],[INSTANT]],[1]dataset_2!$A:$G,2,FALSE)</f>
        <v>0.21210000000000001</v>
      </c>
      <c r="P351" s="37">
        <f>VLOOKUP(Table1[[#This Row],[INSTANT]],[1]dataset_2!$A:$G,3,0)</f>
        <v>0.41</v>
      </c>
      <c r="Q351" s="37">
        <f>VLOOKUP(Table1[[#This Row],[INSTANT]],[1]dataset_2!$A:$D,4,FALSE)</f>
        <v>0.28360000000000002</v>
      </c>
      <c r="R351" s="37">
        <f>VLOOKUP(Table1[[#This Row],[INSTANT]],[1]dataset_2!$A:$G,5,0)</f>
        <v>29</v>
      </c>
      <c r="S351" s="38">
        <f>VLOOKUP(Table1[[#This Row],[INSTANT]],[1]dataset_2!$A:$G,6,0)</f>
        <v>75</v>
      </c>
      <c r="T351" s="38">
        <f>VLOOKUP(Table1[[#This Row],[INSTANT]],[1]dataset_2!$A:$G,7,0)</f>
        <v>104</v>
      </c>
    </row>
    <row r="352" spans="1:20" ht="13" x14ac:dyDescent="0.15">
      <c r="A352" s="35">
        <v>351</v>
      </c>
      <c r="B352" s="27">
        <v>40559</v>
      </c>
      <c r="C352" s="8" t="str">
        <f t="shared" si="10"/>
        <v>2011</v>
      </c>
      <c r="D352" s="8" t="str">
        <f t="shared" si="11"/>
        <v>16</v>
      </c>
      <c r="E352" s="7">
        <v>1</v>
      </c>
      <c r="F352" s="7">
        <v>0</v>
      </c>
      <c r="G352" s="7">
        <v>1</v>
      </c>
      <c r="H352" s="7">
        <v>2</v>
      </c>
      <c r="I352" s="7" t="b">
        <v>0</v>
      </c>
      <c r="J352" s="22">
        <f>--Table1[[#This Row],[HOLIDAY]]</f>
        <v>0</v>
      </c>
      <c r="K352" s="9">
        <v>0</v>
      </c>
      <c r="L352" s="7">
        <v>1</v>
      </c>
      <c r="M352" s="7">
        <f>LEN(TEXT(Table1[[#This Row],[WEATHER]],"0"))</f>
        <v>1</v>
      </c>
      <c r="N352" s="36">
        <v>0.26</v>
      </c>
      <c r="O352" s="37">
        <f>VLOOKUP(Table1[[#This Row],[INSTANT]],[1]dataset_2!$A:$G,2,FALSE)</f>
        <v>0.2273</v>
      </c>
      <c r="P352" s="37">
        <f>VLOOKUP(Table1[[#This Row],[INSTANT]],[1]dataset_2!$A:$G,3,0)</f>
        <v>0.35</v>
      </c>
      <c r="Q352" s="37">
        <f>VLOOKUP(Table1[[#This Row],[INSTANT]],[1]dataset_2!$A:$D,4,FALSE)</f>
        <v>0.29849999999999999</v>
      </c>
      <c r="R352" s="37">
        <f>VLOOKUP(Table1[[#This Row],[INSTANT]],[1]dataset_2!$A:$G,5,0)</f>
        <v>23</v>
      </c>
      <c r="S352" s="38">
        <f>VLOOKUP(Table1[[#This Row],[INSTANT]],[1]dataset_2!$A:$G,6,0)</f>
        <v>95</v>
      </c>
      <c r="T352" s="38">
        <f>VLOOKUP(Table1[[#This Row],[INSTANT]],[1]dataset_2!$A:$G,7,0)</f>
        <v>118</v>
      </c>
    </row>
    <row r="353" spans="1:20" ht="13" x14ac:dyDescent="0.15">
      <c r="A353" s="35">
        <v>352</v>
      </c>
      <c r="B353" s="27">
        <v>40559</v>
      </c>
      <c r="C353" s="8" t="str">
        <f t="shared" si="10"/>
        <v>2011</v>
      </c>
      <c r="D353" s="8" t="str">
        <f t="shared" si="11"/>
        <v>16</v>
      </c>
      <c r="E353" s="7">
        <v>1</v>
      </c>
      <c r="F353" s="7">
        <v>0</v>
      </c>
      <c r="G353" s="7">
        <v>1</v>
      </c>
      <c r="H353" s="7">
        <v>3</v>
      </c>
      <c r="I353" s="7" t="b">
        <v>0</v>
      </c>
      <c r="J353" s="22">
        <f>--Table1[[#This Row],[HOLIDAY]]</f>
        <v>0</v>
      </c>
      <c r="K353" s="9">
        <v>0</v>
      </c>
      <c r="L353" s="7">
        <v>1</v>
      </c>
      <c r="M353" s="7">
        <f>LEN(TEXT(Table1[[#This Row],[WEATHER]],"0"))</f>
        <v>1</v>
      </c>
      <c r="N353" s="36">
        <v>0.22</v>
      </c>
      <c r="O353" s="37">
        <f>VLOOKUP(Table1[[#This Row],[INSTANT]],[1]dataset_2!$A:$G,2,FALSE)</f>
        <v>0.2727</v>
      </c>
      <c r="P353" s="37">
        <f>VLOOKUP(Table1[[#This Row],[INSTANT]],[1]dataset_2!$A:$G,3,0)</f>
        <v>0.36</v>
      </c>
      <c r="Q353" s="37">
        <f>VLOOKUP(Table1[[#This Row],[INSTANT]],[1]dataset_2!$A:$D,4,FALSE)</f>
        <v>0.25369999999999998</v>
      </c>
      <c r="R353" s="37">
        <f>VLOOKUP(Table1[[#This Row],[INSTANT]],[1]dataset_2!$A:$G,5,0)</f>
        <v>22</v>
      </c>
      <c r="S353" s="38">
        <f>VLOOKUP(Table1[[#This Row],[INSTANT]],[1]dataset_2!$A:$G,6,0)</f>
        <v>69</v>
      </c>
      <c r="T353" s="38">
        <f>VLOOKUP(Table1[[#This Row],[INSTANT]],[1]dataset_2!$A:$G,7,0)</f>
        <v>91</v>
      </c>
    </row>
    <row r="354" spans="1:20" ht="13" x14ac:dyDescent="0.15">
      <c r="A354" s="35">
        <v>353</v>
      </c>
      <c r="B354" s="27">
        <v>40559</v>
      </c>
      <c r="C354" s="8" t="str">
        <f t="shared" si="10"/>
        <v>2011</v>
      </c>
      <c r="D354" s="8" t="str">
        <f t="shared" si="11"/>
        <v>16</v>
      </c>
      <c r="E354" s="7">
        <v>1</v>
      </c>
      <c r="F354" s="7">
        <v>0</v>
      </c>
      <c r="G354" s="7">
        <v>1</v>
      </c>
      <c r="H354" s="7">
        <v>4</v>
      </c>
      <c r="I354" s="7" t="b">
        <v>0</v>
      </c>
      <c r="J354" s="22">
        <f>--Table1[[#This Row],[HOLIDAY]]</f>
        <v>0</v>
      </c>
      <c r="K354" s="9">
        <v>0</v>
      </c>
      <c r="L354" s="7">
        <v>1</v>
      </c>
      <c r="M354" s="7">
        <f>LEN(TEXT(Table1[[#This Row],[WEATHER]],"0"))</f>
        <v>1</v>
      </c>
      <c r="N354" s="36">
        <v>0.26</v>
      </c>
      <c r="O354" s="37">
        <f>VLOOKUP(Table1[[#This Row],[INSTANT]],[1]dataset_2!$A:$G,2,FALSE)</f>
        <v>0.2424</v>
      </c>
      <c r="P354" s="37">
        <f>VLOOKUP(Table1[[#This Row],[INSTANT]],[1]dataset_2!$A:$G,3,0)</f>
        <v>0.38</v>
      </c>
      <c r="Q354" s="37">
        <f>VLOOKUP(Table1[[#This Row],[INSTANT]],[1]dataset_2!$A:$D,4,FALSE)</f>
        <v>0.25369999999999998</v>
      </c>
      <c r="R354" s="37">
        <f>VLOOKUP(Table1[[#This Row],[INSTANT]],[1]dataset_2!$A:$G,5,0)</f>
        <v>35</v>
      </c>
      <c r="S354" s="38">
        <f>VLOOKUP(Table1[[#This Row],[INSTANT]],[1]dataset_2!$A:$G,6,0)</f>
        <v>78</v>
      </c>
      <c r="T354" s="38">
        <f>VLOOKUP(Table1[[#This Row],[INSTANT]],[1]dataset_2!$A:$G,7,0)</f>
        <v>113</v>
      </c>
    </row>
    <row r="355" spans="1:20" ht="13" x14ac:dyDescent="0.15">
      <c r="A355" s="35">
        <v>354</v>
      </c>
      <c r="B355" s="27">
        <v>40559</v>
      </c>
      <c r="C355" s="8" t="str">
        <f t="shared" si="10"/>
        <v>2011</v>
      </c>
      <c r="D355" s="8" t="str">
        <f t="shared" si="11"/>
        <v>16</v>
      </c>
      <c r="E355" s="7">
        <v>1</v>
      </c>
      <c r="F355" s="7">
        <v>0</v>
      </c>
      <c r="G355" s="7">
        <v>1</v>
      </c>
      <c r="H355" s="7">
        <v>5</v>
      </c>
      <c r="I355" s="7" t="b">
        <v>0</v>
      </c>
      <c r="J355" s="22">
        <f>--Table1[[#This Row],[HOLIDAY]]</f>
        <v>0</v>
      </c>
      <c r="K355" s="9">
        <v>0</v>
      </c>
      <c r="L355" s="7">
        <v>2</v>
      </c>
      <c r="M355" s="7">
        <f>LEN(TEXT(Table1[[#This Row],[WEATHER]],"0"))</f>
        <v>1</v>
      </c>
      <c r="N355" s="36">
        <v>0.26</v>
      </c>
      <c r="O355" s="37">
        <f>VLOOKUP(Table1[[#This Row],[INSTANT]],[1]dataset_2!$A:$G,2,FALSE)</f>
        <v>0.2273</v>
      </c>
      <c r="P355" s="37">
        <f>VLOOKUP(Table1[[#This Row],[INSTANT]],[1]dataset_2!$A:$G,3,0)</f>
        <v>0.38</v>
      </c>
      <c r="Q355" s="37">
        <f>VLOOKUP(Table1[[#This Row],[INSTANT]],[1]dataset_2!$A:$D,4,FALSE)</f>
        <v>0.22389999999999999</v>
      </c>
      <c r="R355" s="37">
        <f>VLOOKUP(Table1[[#This Row],[INSTANT]],[1]dataset_2!$A:$G,5,0)</f>
        <v>22</v>
      </c>
      <c r="S355" s="38">
        <f>VLOOKUP(Table1[[#This Row],[INSTANT]],[1]dataset_2!$A:$G,6,0)</f>
        <v>77</v>
      </c>
      <c r="T355" s="38">
        <f>VLOOKUP(Table1[[#This Row],[INSTANT]],[1]dataset_2!$A:$G,7,0)</f>
        <v>99</v>
      </c>
    </row>
    <row r="356" spans="1:20" ht="13" x14ac:dyDescent="0.15">
      <c r="A356" s="35">
        <v>355</v>
      </c>
      <c r="B356" s="27">
        <v>40559</v>
      </c>
      <c r="C356" s="8" t="str">
        <f t="shared" si="10"/>
        <v>2011</v>
      </c>
      <c r="D356" s="8" t="str">
        <f t="shared" si="11"/>
        <v>16</v>
      </c>
      <c r="E356" s="7">
        <v>1</v>
      </c>
      <c r="F356" s="7">
        <v>0</v>
      </c>
      <c r="G356" s="7">
        <v>1</v>
      </c>
      <c r="H356" s="7">
        <v>6</v>
      </c>
      <c r="I356" s="7" t="b">
        <v>0</v>
      </c>
      <c r="J356" s="22">
        <f>--Table1[[#This Row],[HOLIDAY]]</f>
        <v>0</v>
      </c>
      <c r="K356" s="9">
        <v>0</v>
      </c>
      <c r="L356" s="7">
        <v>2</v>
      </c>
      <c r="M356" s="7">
        <f>LEN(TEXT(Table1[[#This Row],[WEATHER]],"0"))</f>
        <v>1</v>
      </c>
      <c r="N356" s="36">
        <v>0.26</v>
      </c>
      <c r="O356" s="37">
        <f>VLOOKUP(Table1[[#This Row],[INSTANT]],[1]dataset_2!$A:$G,2,FALSE)</f>
        <v>0.21210000000000001</v>
      </c>
      <c r="P356" s="37">
        <f>VLOOKUP(Table1[[#This Row],[INSTANT]],[1]dataset_2!$A:$G,3,0)</f>
        <v>0.37</v>
      </c>
      <c r="Q356" s="37">
        <f>VLOOKUP(Table1[[#This Row],[INSTANT]],[1]dataset_2!$A:$D,4,FALSE)</f>
        <v>0.25369999999999998</v>
      </c>
      <c r="R356" s="37">
        <f>VLOOKUP(Table1[[#This Row],[INSTANT]],[1]dataset_2!$A:$G,5,0)</f>
        <v>23</v>
      </c>
      <c r="S356" s="38">
        <f>VLOOKUP(Table1[[#This Row],[INSTANT]],[1]dataset_2!$A:$G,6,0)</f>
        <v>82</v>
      </c>
      <c r="T356" s="38">
        <f>VLOOKUP(Table1[[#This Row],[INSTANT]],[1]dataset_2!$A:$G,7,0)</f>
        <v>105</v>
      </c>
    </row>
    <row r="357" spans="1:20" ht="13" x14ac:dyDescent="0.15">
      <c r="A357" s="35">
        <v>356</v>
      </c>
      <c r="B357" s="27">
        <v>40559</v>
      </c>
      <c r="C357" s="8" t="str">
        <f t="shared" si="10"/>
        <v>2011</v>
      </c>
      <c r="D357" s="8" t="str">
        <f t="shared" si="11"/>
        <v>16</v>
      </c>
      <c r="E357" s="7">
        <v>1</v>
      </c>
      <c r="F357" s="7">
        <v>0</v>
      </c>
      <c r="G357" s="7">
        <v>1</v>
      </c>
      <c r="H357" s="7">
        <v>7</v>
      </c>
      <c r="I357" s="7" t="b">
        <v>0</v>
      </c>
      <c r="J357" s="22">
        <f>--Table1[[#This Row],[HOLIDAY]]</f>
        <v>0</v>
      </c>
      <c r="K357" s="9">
        <v>0</v>
      </c>
      <c r="L357" s="7">
        <v>2</v>
      </c>
      <c r="M357" s="7">
        <f>LEN(TEXT(Table1[[#This Row],[WEATHER]],"0"))</f>
        <v>1</v>
      </c>
      <c r="N357" s="36">
        <v>0.24</v>
      </c>
      <c r="O357" s="37">
        <f>VLOOKUP(Table1[[#This Row],[INSTANT]],[1]dataset_2!$A:$G,2,FALSE)</f>
        <v>0.21210000000000001</v>
      </c>
      <c r="P357" s="37">
        <f>VLOOKUP(Table1[[#This Row],[INSTANT]],[1]dataset_2!$A:$G,3,0)</f>
        <v>0.4</v>
      </c>
      <c r="Q357" s="37">
        <f>VLOOKUP(Table1[[#This Row],[INSTANT]],[1]dataset_2!$A:$D,4,FALSE)</f>
        <v>0.16420000000000001</v>
      </c>
      <c r="R357" s="37">
        <f>VLOOKUP(Table1[[#This Row],[INSTANT]],[1]dataset_2!$A:$G,5,0)</f>
        <v>11</v>
      </c>
      <c r="S357" s="38">
        <f>VLOOKUP(Table1[[#This Row],[INSTANT]],[1]dataset_2!$A:$G,6,0)</f>
        <v>56</v>
      </c>
      <c r="T357" s="38">
        <f>VLOOKUP(Table1[[#This Row],[INSTANT]],[1]dataset_2!$A:$G,7,0)</f>
        <v>67</v>
      </c>
    </row>
    <row r="358" spans="1:20" ht="13" x14ac:dyDescent="0.15">
      <c r="A358" s="35">
        <v>357</v>
      </c>
      <c r="B358" s="27">
        <v>40559</v>
      </c>
      <c r="C358" s="8" t="str">
        <f t="shared" si="10"/>
        <v>2011</v>
      </c>
      <c r="D358" s="8" t="str">
        <f t="shared" si="11"/>
        <v>16</v>
      </c>
      <c r="E358" s="7">
        <v>1</v>
      </c>
      <c r="F358" s="7">
        <v>0</v>
      </c>
      <c r="G358" s="7">
        <v>1</v>
      </c>
      <c r="H358" s="7">
        <v>8</v>
      </c>
      <c r="I358" s="7" t="b">
        <v>0</v>
      </c>
      <c r="J358" s="22">
        <f>--Table1[[#This Row],[HOLIDAY]]</f>
        <v>0</v>
      </c>
      <c r="K358" s="9">
        <v>0</v>
      </c>
      <c r="L358" s="7">
        <v>1</v>
      </c>
      <c r="M358" s="7">
        <f>LEN(TEXT(Table1[[#This Row],[WEATHER]],"0"))</f>
        <v>1</v>
      </c>
      <c r="N358" s="36">
        <v>0.22</v>
      </c>
      <c r="O358" s="37">
        <f>VLOOKUP(Table1[[#This Row],[INSTANT]],[1]dataset_2!$A:$G,2,FALSE)</f>
        <v>0.19700000000000001</v>
      </c>
      <c r="P358" s="37">
        <f>VLOOKUP(Table1[[#This Row],[INSTANT]],[1]dataset_2!$A:$G,3,0)</f>
        <v>0.47</v>
      </c>
      <c r="Q358" s="37">
        <f>VLOOKUP(Table1[[#This Row],[INSTANT]],[1]dataset_2!$A:$D,4,FALSE)</f>
        <v>0.1343</v>
      </c>
      <c r="R358" s="37">
        <f>VLOOKUP(Table1[[#This Row],[INSTANT]],[1]dataset_2!$A:$G,5,0)</f>
        <v>14</v>
      </c>
      <c r="S358" s="38">
        <f>VLOOKUP(Table1[[#This Row],[INSTANT]],[1]dataset_2!$A:$G,6,0)</f>
        <v>47</v>
      </c>
      <c r="T358" s="38">
        <f>VLOOKUP(Table1[[#This Row],[INSTANT]],[1]dataset_2!$A:$G,7,0)</f>
        <v>61</v>
      </c>
    </row>
    <row r="359" spans="1:20" ht="13" x14ac:dyDescent="0.15">
      <c r="A359" s="35">
        <v>358</v>
      </c>
      <c r="B359" s="27">
        <v>40559</v>
      </c>
      <c r="C359" s="8" t="str">
        <f t="shared" si="10"/>
        <v>2011</v>
      </c>
      <c r="D359" s="8" t="str">
        <f t="shared" si="11"/>
        <v>16</v>
      </c>
      <c r="E359" s="7">
        <v>1</v>
      </c>
      <c r="F359" s="7">
        <v>0</v>
      </c>
      <c r="G359" s="7">
        <v>1</v>
      </c>
      <c r="H359" s="7">
        <v>9</v>
      </c>
      <c r="I359" s="7" t="b">
        <v>0</v>
      </c>
      <c r="J359" s="22">
        <f>--Table1[[#This Row],[HOLIDAY]]</f>
        <v>0</v>
      </c>
      <c r="K359" s="9">
        <v>0</v>
      </c>
      <c r="L359" s="7">
        <v>1</v>
      </c>
      <c r="M359" s="7">
        <f>LEN(TEXT(Table1[[#This Row],[WEATHER]],"0"))</f>
        <v>1</v>
      </c>
      <c r="N359" s="36">
        <v>0.22</v>
      </c>
      <c r="O359" s="37">
        <f>VLOOKUP(Table1[[#This Row],[INSTANT]],[1]dataset_2!$A:$G,2,FALSE)</f>
        <v>0.19700000000000001</v>
      </c>
      <c r="P359" s="37">
        <f>VLOOKUP(Table1[[#This Row],[INSTANT]],[1]dataset_2!$A:$G,3,0)</f>
        <v>0.47</v>
      </c>
      <c r="Q359" s="37">
        <f>VLOOKUP(Table1[[#This Row],[INSTANT]],[1]dataset_2!$A:$D,4,FALSE)</f>
        <v>0.16420000000000001</v>
      </c>
      <c r="R359" s="37">
        <f>VLOOKUP(Table1[[#This Row],[INSTANT]],[1]dataset_2!$A:$G,5,0)</f>
        <v>7</v>
      </c>
      <c r="S359" s="38">
        <f>VLOOKUP(Table1[[#This Row],[INSTANT]],[1]dataset_2!$A:$G,6,0)</f>
        <v>50</v>
      </c>
      <c r="T359" s="38">
        <f>VLOOKUP(Table1[[#This Row],[INSTANT]],[1]dataset_2!$A:$G,7,0)</f>
        <v>57</v>
      </c>
    </row>
    <row r="360" spans="1:20" ht="13" x14ac:dyDescent="0.15">
      <c r="A360" s="35">
        <v>359</v>
      </c>
      <c r="B360" s="27">
        <v>40559</v>
      </c>
      <c r="C360" s="8" t="str">
        <f t="shared" si="10"/>
        <v>2011</v>
      </c>
      <c r="D360" s="8" t="str">
        <f t="shared" si="11"/>
        <v>16</v>
      </c>
      <c r="E360" s="7">
        <v>1</v>
      </c>
      <c r="F360" s="7">
        <v>0</v>
      </c>
      <c r="G360" s="7">
        <v>1</v>
      </c>
      <c r="H360" s="7">
        <v>10</v>
      </c>
      <c r="I360" s="7" t="b">
        <v>0</v>
      </c>
      <c r="J360" s="22">
        <f>--Table1[[#This Row],[HOLIDAY]]</f>
        <v>0</v>
      </c>
      <c r="K360" s="9">
        <v>0</v>
      </c>
      <c r="L360" s="7">
        <v>1</v>
      </c>
      <c r="M360" s="7">
        <f>LEN(TEXT(Table1[[#This Row],[WEATHER]],"0"))</f>
        <v>1</v>
      </c>
      <c r="N360" s="36">
        <v>0.22</v>
      </c>
      <c r="O360" s="37">
        <f>VLOOKUP(Table1[[#This Row],[INSTANT]],[1]dataset_2!$A:$G,2,FALSE)</f>
        <v>0.19700000000000001</v>
      </c>
      <c r="P360" s="37">
        <f>VLOOKUP(Table1[[#This Row],[INSTANT]],[1]dataset_2!$A:$G,3,0)</f>
        <v>0.51</v>
      </c>
      <c r="Q360" s="37">
        <f>VLOOKUP(Table1[[#This Row],[INSTANT]],[1]dataset_2!$A:$D,4,FALSE)</f>
        <v>0.16420000000000001</v>
      </c>
      <c r="R360" s="37">
        <f>VLOOKUP(Table1[[#This Row],[INSTANT]],[1]dataset_2!$A:$G,5,0)</f>
        <v>6</v>
      </c>
      <c r="S360" s="38">
        <f>VLOOKUP(Table1[[#This Row],[INSTANT]],[1]dataset_2!$A:$G,6,0)</f>
        <v>22</v>
      </c>
      <c r="T360" s="38">
        <f>VLOOKUP(Table1[[#This Row],[INSTANT]],[1]dataset_2!$A:$G,7,0)</f>
        <v>28</v>
      </c>
    </row>
    <row r="361" spans="1:20" ht="13" x14ac:dyDescent="0.15">
      <c r="A361" s="35">
        <v>360</v>
      </c>
      <c r="B361" s="27">
        <v>40559</v>
      </c>
      <c r="C361" s="8" t="str">
        <f t="shared" si="10"/>
        <v>2011</v>
      </c>
      <c r="D361" s="8" t="str">
        <f t="shared" si="11"/>
        <v>16</v>
      </c>
      <c r="E361" s="7">
        <v>1</v>
      </c>
      <c r="F361" s="7">
        <v>0</v>
      </c>
      <c r="G361" s="7">
        <v>1</v>
      </c>
      <c r="H361" s="7">
        <v>11</v>
      </c>
      <c r="I361" s="7" t="b">
        <v>0</v>
      </c>
      <c r="J361" s="22">
        <f>--Table1[[#This Row],[HOLIDAY]]</f>
        <v>0</v>
      </c>
      <c r="K361" s="9">
        <v>0</v>
      </c>
      <c r="L361" s="7">
        <v>1</v>
      </c>
      <c r="M361" s="7">
        <f>LEN(TEXT(Table1[[#This Row],[WEATHER]],"0"))</f>
        <v>1</v>
      </c>
      <c r="N361" s="36">
        <v>0.24</v>
      </c>
      <c r="O361" s="37">
        <f>VLOOKUP(Table1[[#This Row],[INSTANT]],[1]dataset_2!$A:$G,2,FALSE)</f>
        <v>0.21210000000000001</v>
      </c>
      <c r="P361" s="37">
        <f>VLOOKUP(Table1[[#This Row],[INSTANT]],[1]dataset_2!$A:$G,3,0)</f>
        <v>0.49</v>
      </c>
      <c r="Q361" s="37">
        <f>VLOOKUP(Table1[[#This Row],[INSTANT]],[1]dataset_2!$A:$D,4,FALSE)</f>
        <v>0.1343</v>
      </c>
      <c r="R361" s="37">
        <f>VLOOKUP(Table1[[#This Row],[INSTANT]],[1]dataset_2!$A:$G,5,0)</f>
        <v>2</v>
      </c>
      <c r="S361" s="38">
        <f>VLOOKUP(Table1[[#This Row],[INSTANT]],[1]dataset_2!$A:$G,6,0)</f>
        <v>19</v>
      </c>
      <c r="T361" s="38">
        <f>VLOOKUP(Table1[[#This Row],[INSTANT]],[1]dataset_2!$A:$G,7,0)</f>
        <v>21</v>
      </c>
    </row>
    <row r="362" spans="1:20" ht="13" x14ac:dyDescent="0.15">
      <c r="A362" s="35">
        <v>361</v>
      </c>
      <c r="B362" s="27">
        <v>40559</v>
      </c>
      <c r="C362" s="8" t="str">
        <f t="shared" si="10"/>
        <v>2011</v>
      </c>
      <c r="D362" s="8" t="str">
        <f t="shared" si="11"/>
        <v>16</v>
      </c>
      <c r="E362" s="7">
        <v>1</v>
      </c>
      <c r="F362" s="7">
        <v>0</v>
      </c>
      <c r="G362" s="7">
        <v>1</v>
      </c>
      <c r="H362" s="7">
        <v>12</v>
      </c>
      <c r="I362" s="7" t="b">
        <v>0</v>
      </c>
      <c r="J362" s="22">
        <f>--Table1[[#This Row],[HOLIDAY]]</f>
        <v>0</v>
      </c>
      <c r="K362" s="9">
        <v>0</v>
      </c>
      <c r="L362" s="7">
        <v>1</v>
      </c>
      <c r="M362" s="7">
        <f>LEN(TEXT(Table1[[#This Row],[WEATHER]],"0"))</f>
        <v>1</v>
      </c>
      <c r="N362" s="36">
        <v>0.24</v>
      </c>
      <c r="O362" s="37">
        <f>VLOOKUP(Table1[[#This Row],[INSTANT]],[1]dataset_2!$A:$G,2,FALSE)</f>
        <v>0.2273</v>
      </c>
      <c r="P362" s="37">
        <f>VLOOKUP(Table1[[#This Row],[INSTANT]],[1]dataset_2!$A:$G,3,0)</f>
        <v>0.4</v>
      </c>
      <c r="Q362" s="37">
        <f>VLOOKUP(Table1[[#This Row],[INSTANT]],[1]dataset_2!$A:$D,4,FALSE)</f>
        <v>0.1045</v>
      </c>
      <c r="R362" s="37">
        <f>VLOOKUP(Table1[[#This Row],[INSTANT]],[1]dataset_2!$A:$G,5,0)</f>
        <v>0</v>
      </c>
      <c r="S362" s="38">
        <f>VLOOKUP(Table1[[#This Row],[INSTANT]],[1]dataset_2!$A:$G,6,0)</f>
        <v>18</v>
      </c>
      <c r="T362" s="38">
        <f>VLOOKUP(Table1[[#This Row],[INSTANT]],[1]dataset_2!$A:$G,7,0)</f>
        <v>18</v>
      </c>
    </row>
    <row r="363" spans="1:20" ht="13" x14ac:dyDescent="0.15">
      <c r="A363" s="35">
        <v>362</v>
      </c>
      <c r="B363" s="27">
        <v>40559</v>
      </c>
      <c r="C363" s="8" t="str">
        <f t="shared" si="10"/>
        <v>2011</v>
      </c>
      <c r="D363" s="8" t="str">
        <f t="shared" si="11"/>
        <v>16</v>
      </c>
      <c r="E363" s="7">
        <v>1</v>
      </c>
      <c r="F363" s="7">
        <v>0</v>
      </c>
      <c r="G363" s="7">
        <v>1</v>
      </c>
      <c r="H363" s="7">
        <v>13</v>
      </c>
      <c r="I363" s="7" t="b">
        <v>0</v>
      </c>
      <c r="J363" s="22">
        <f>--Table1[[#This Row],[HOLIDAY]]</f>
        <v>0</v>
      </c>
      <c r="K363" s="9">
        <v>0</v>
      </c>
      <c r="L363" s="7">
        <v>1</v>
      </c>
      <c r="M363" s="7">
        <f>LEN(TEXT(Table1[[#This Row],[WEATHER]],"0"))</f>
        <v>1</v>
      </c>
      <c r="N363" s="36">
        <v>0.26</v>
      </c>
      <c r="O363" s="37">
        <f>VLOOKUP(Table1[[#This Row],[INSTANT]],[1]dataset_2!$A:$G,2,FALSE)</f>
        <v>0.19700000000000001</v>
      </c>
      <c r="P363" s="37">
        <f>VLOOKUP(Table1[[#This Row],[INSTANT]],[1]dataset_2!$A:$G,3,0)</f>
        <v>0.47</v>
      </c>
      <c r="Q363" s="37">
        <f>VLOOKUP(Table1[[#This Row],[INSTANT]],[1]dataset_2!$A:$D,4,FALSE)</f>
        <v>0.22389999999999999</v>
      </c>
      <c r="R363" s="37">
        <f>VLOOKUP(Table1[[#This Row],[INSTANT]],[1]dataset_2!$A:$G,5,0)</f>
        <v>1</v>
      </c>
      <c r="S363" s="38">
        <f>VLOOKUP(Table1[[#This Row],[INSTANT]],[1]dataset_2!$A:$G,6,0)</f>
        <v>16</v>
      </c>
      <c r="T363" s="38">
        <f>VLOOKUP(Table1[[#This Row],[INSTANT]],[1]dataset_2!$A:$G,7,0)</f>
        <v>17</v>
      </c>
    </row>
    <row r="364" spans="1:20" ht="13" x14ac:dyDescent="0.15">
      <c r="A364" s="35">
        <v>363</v>
      </c>
      <c r="B364" s="27">
        <v>40559</v>
      </c>
      <c r="C364" s="8" t="str">
        <f t="shared" si="10"/>
        <v>2011</v>
      </c>
      <c r="D364" s="8" t="str">
        <f t="shared" si="11"/>
        <v>16</v>
      </c>
      <c r="E364" s="7">
        <v>1</v>
      </c>
      <c r="F364" s="7">
        <v>0</v>
      </c>
      <c r="G364" s="7">
        <v>1</v>
      </c>
      <c r="H364" s="7">
        <v>14</v>
      </c>
      <c r="I364" s="7" t="b">
        <v>0</v>
      </c>
      <c r="J364" s="22">
        <f>--Table1[[#This Row],[HOLIDAY]]</f>
        <v>0</v>
      </c>
      <c r="K364" s="9">
        <v>0</v>
      </c>
      <c r="L364" s="7">
        <v>1</v>
      </c>
      <c r="M364" s="7">
        <f>LEN(TEXT(Table1[[#This Row],[WEATHER]],"0"))</f>
        <v>1</v>
      </c>
      <c r="N364" s="36">
        <v>0.28000000000000003</v>
      </c>
      <c r="O364" s="37">
        <f>VLOOKUP(Table1[[#This Row],[INSTANT]],[1]dataset_2!$A:$G,2,FALSE)</f>
        <v>0.19700000000000001</v>
      </c>
      <c r="P364" s="37">
        <f>VLOOKUP(Table1[[#This Row],[INSTANT]],[1]dataset_2!$A:$G,3,0)</f>
        <v>0.44</v>
      </c>
      <c r="Q364" s="37">
        <f>VLOOKUP(Table1[[#This Row],[INSTANT]],[1]dataset_2!$A:$D,4,FALSE)</f>
        <v>0.19400000000000001</v>
      </c>
      <c r="R364" s="37">
        <f>VLOOKUP(Table1[[#This Row],[INSTANT]],[1]dataset_2!$A:$G,5,0)</f>
        <v>1</v>
      </c>
      <c r="S364" s="38">
        <f>VLOOKUP(Table1[[#This Row],[INSTANT]],[1]dataset_2!$A:$G,6,0)</f>
        <v>15</v>
      </c>
      <c r="T364" s="38">
        <f>VLOOKUP(Table1[[#This Row],[INSTANT]],[1]dataset_2!$A:$G,7,0)</f>
        <v>16</v>
      </c>
    </row>
    <row r="365" spans="1:20" ht="13" x14ac:dyDescent="0.15">
      <c r="A365" s="35">
        <v>364</v>
      </c>
      <c r="B365" s="27">
        <v>40559</v>
      </c>
      <c r="C365" s="8" t="str">
        <f t="shared" si="10"/>
        <v>2011</v>
      </c>
      <c r="D365" s="8" t="str">
        <f t="shared" si="11"/>
        <v>16</v>
      </c>
      <c r="E365" s="7">
        <v>1</v>
      </c>
      <c r="F365" s="7">
        <v>0</v>
      </c>
      <c r="G365" s="7">
        <v>1</v>
      </c>
      <c r="H365" s="7">
        <v>15</v>
      </c>
      <c r="I365" s="7" t="b">
        <v>0</v>
      </c>
      <c r="J365" s="22">
        <f>--Table1[[#This Row],[HOLIDAY]]</f>
        <v>0</v>
      </c>
      <c r="K365" s="9">
        <v>0</v>
      </c>
      <c r="L365" s="7">
        <v>1</v>
      </c>
      <c r="M365" s="7">
        <f>LEN(TEXT(Table1[[#This Row],[WEATHER]],"0"))</f>
        <v>1</v>
      </c>
      <c r="N365" s="36">
        <v>0.26</v>
      </c>
      <c r="O365" s="37">
        <f>VLOOKUP(Table1[[#This Row],[INSTANT]],[1]dataset_2!$A:$G,2,FALSE)</f>
        <v>0.16669999999999999</v>
      </c>
      <c r="P365" s="37">
        <f>VLOOKUP(Table1[[#This Row],[INSTANT]],[1]dataset_2!$A:$G,3,0)</f>
        <v>0.43</v>
      </c>
      <c r="Q365" s="37">
        <f>VLOOKUP(Table1[[#This Row],[INSTANT]],[1]dataset_2!$A:$D,4,FALSE)</f>
        <v>0.25369999999999998</v>
      </c>
      <c r="R365" s="37">
        <f>VLOOKUP(Table1[[#This Row],[INSTANT]],[1]dataset_2!$A:$G,5,0)</f>
        <v>0</v>
      </c>
      <c r="S365" s="38">
        <f>VLOOKUP(Table1[[#This Row],[INSTANT]],[1]dataset_2!$A:$G,6,0)</f>
        <v>8</v>
      </c>
      <c r="T365" s="38">
        <f>VLOOKUP(Table1[[#This Row],[INSTANT]],[1]dataset_2!$A:$G,7,0)</f>
        <v>8</v>
      </c>
    </row>
    <row r="366" spans="1:20" ht="13" x14ac:dyDescent="0.15">
      <c r="A366" s="35">
        <v>365</v>
      </c>
      <c r="B366" s="27">
        <v>40559</v>
      </c>
      <c r="C366" s="8" t="str">
        <f t="shared" si="10"/>
        <v>2011</v>
      </c>
      <c r="D366" s="8" t="str">
        <f t="shared" si="11"/>
        <v>16</v>
      </c>
      <c r="E366" s="7">
        <v>1</v>
      </c>
      <c r="F366" s="7">
        <v>0</v>
      </c>
      <c r="G366" s="7">
        <v>1</v>
      </c>
      <c r="H366" s="7">
        <v>16</v>
      </c>
      <c r="I366" s="7" t="b">
        <v>0</v>
      </c>
      <c r="J366" s="22">
        <f>--Table1[[#This Row],[HOLIDAY]]</f>
        <v>0</v>
      </c>
      <c r="K366" s="9">
        <v>0</v>
      </c>
      <c r="L366" s="7">
        <v>1</v>
      </c>
      <c r="M366" s="7">
        <f>LEN(TEXT(Table1[[#This Row],[WEATHER]],"0"))</f>
        <v>1</v>
      </c>
      <c r="N366" s="36">
        <v>0.24</v>
      </c>
      <c r="O366" s="37">
        <f>VLOOKUP(Table1[[#This Row],[INSTANT]],[1]dataset_2!$A:$G,2,FALSE)</f>
        <v>0.18179999999999999</v>
      </c>
      <c r="P366" s="37">
        <f>VLOOKUP(Table1[[#This Row],[INSTANT]],[1]dataset_2!$A:$G,3,0)</f>
        <v>0.43</v>
      </c>
      <c r="Q366" s="37">
        <f>VLOOKUP(Table1[[#This Row],[INSTANT]],[1]dataset_2!$A:$D,4,FALSE)</f>
        <v>0.19400000000000001</v>
      </c>
      <c r="R366" s="37">
        <f>VLOOKUP(Table1[[#This Row],[INSTANT]],[1]dataset_2!$A:$G,5,0)</f>
        <v>0</v>
      </c>
      <c r="S366" s="38">
        <f>VLOOKUP(Table1[[#This Row],[INSTANT]],[1]dataset_2!$A:$G,6,0)</f>
        <v>2</v>
      </c>
      <c r="T366" s="38">
        <f>VLOOKUP(Table1[[#This Row],[INSTANT]],[1]dataset_2!$A:$G,7,0)</f>
        <v>2</v>
      </c>
    </row>
    <row r="367" spans="1:20" ht="13" x14ac:dyDescent="0.15">
      <c r="A367" s="35">
        <v>366</v>
      </c>
      <c r="B367" s="27">
        <v>40559</v>
      </c>
      <c r="C367" s="8" t="str">
        <f t="shared" si="10"/>
        <v>2011</v>
      </c>
      <c r="D367" s="8" t="str">
        <f t="shared" si="11"/>
        <v>16</v>
      </c>
      <c r="E367" s="7">
        <v>1</v>
      </c>
      <c r="F367" s="7">
        <v>0</v>
      </c>
      <c r="G367" s="7">
        <v>1</v>
      </c>
      <c r="H367" s="7">
        <v>17</v>
      </c>
      <c r="I367" s="7" t="b">
        <v>0</v>
      </c>
      <c r="J367" s="22">
        <f>--Table1[[#This Row],[HOLIDAY]]</f>
        <v>0</v>
      </c>
      <c r="K367" s="9">
        <v>0</v>
      </c>
      <c r="L367" s="7">
        <v>1</v>
      </c>
      <c r="M367" s="7">
        <f>LEN(TEXT(Table1[[#This Row],[WEATHER]],"0"))</f>
        <v>1</v>
      </c>
      <c r="N367" s="36">
        <v>0.22</v>
      </c>
      <c r="O367" s="37">
        <f>VLOOKUP(Table1[[#This Row],[INSTANT]],[1]dataset_2!$A:$G,2,FALSE)</f>
        <v>0.19700000000000001</v>
      </c>
      <c r="P367" s="37">
        <f>VLOOKUP(Table1[[#This Row],[INSTANT]],[1]dataset_2!$A:$G,3,0)</f>
        <v>0.43</v>
      </c>
      <c r="Q367" s="37">
        <f>VLOOKUP(Table1[[#This Row],[INSTANT]],[1]dataset_2!$A:$D,4,FALSE)</f>
        <v>0.1343</v>
      </c>
      <c r="R367" s="37">
        <f>VLOOKUP(Table1[[#This Row],[INSTANT]],[1]dataset_2!$A:$G,5,0)</f>
        <v>1</v>
      </c>
      <c r="S367" s="38">
        <f>VLOOKUP(Table1[[#This Row],[INSTANT]],[1]dataset_2!$A:$G,6,0)</f>
        <v>2</v>
      </c>
      <c r="T367" s="38">
        <f>VLOOKUP(Table1[[#This Row],[INSTANT]],[1]dataset_2!$A:$G,7,0)</f>
        <v>3</v>
      </c>
    </row>
    <row r="368" spans="1:20" ht="13" x14ac:dyDescent="0.15">
      <c r="A368" s="35">
        <v>367</v>
      </c>
      <c r="B368" s="27">
        <v>40559</v>
      </c>
      <c r="C368" s="8" t="str">
        <f t="shared" si="10"/>
        <v>2011</v>
      </c>
      <c r="D368" s="8" t="str">
        <f t="shared" si="11"/>
        <v>16</v>
      </c>
      <c r="E368" s="7">
        <v>1</v>
      </c>
      <c r="F368" s="7">
        <v>0</v>
      </c>
      <c r="G368" s="7">
        <v>1</v>
      </c>
      <c r="H368" s="7">
        <v>18</v>
      </c>
      <c r="I368" s="7" t="b">
        <v>0</v>
      </c>
      <c r="J368" s="22">
        <f>--Table1[[#This Row],[HOLIDAY]]</f>
        <v>0</v>
      </c>
      <c r="K368" s="9">
        <v>0</v>
      </c>
      <c r="L368" s="7">
        <v>1</v>
      </c>
      <c r="M368" s="7">
        <f>LEN(TEXT(Table1[[#This Row],[WEATHER]],"0"))</f>
        <v>1</v>
      </c>
      <c r="N368" s="36">
        <v>0.2</v>
      </c>
      <c r="O368" s="37">
        <f>VLOOKUP(Table1[[#This Row],[INSTANT]],[1]dataset_2!$A:$G,2,FALSE)</f>
        <v>0.19700000000000001</v>
      </c>
      <c r="P368" s="37">
        <f>VLOOKUP(Table1[[#This Row],[INSTANT]],[1]dataset_2!$A:$G,3,0)</f>
        <v>0.43</v>
      </c>
      <c r="Q368" s="37">
        <f>VLOOKUP(Table1[[#This Row],[INSTANT]],[1]dataset_2!$A:$D,4,FALSE)</f>
        <v>0.16420000000000001</v>
      </c>
      <c r="R368" s="37">
        <f>VLOOKUP(Table1[[#This Row],[INSTANT]],[1]dataset_2!$A:$G,5,0)</f>
        <v>0</v>
      </c>
      <c r="S368" s="38">
        <f>VLOOKUP(Table1[[#This Row],[INSTANT]],[1]dataset_2!$A:$G,6,0)</f>
        <v>1</v>
      </c>
      <c r="T368" s="38">
        <f>VLOOKUP(Table1[[#This Row],[INSTANT]],[1]dataset_2!$A:$G,7,0)</f>
        <v>1</v>
      </c>
    </row>
    <row r="369" spans="1:20" ht="13" x14ac:dyDescent="0.15">
      <c r="A369" s="35">
        <v>368</v>
      </c>
      <c r="B369" s="27">
        <v>40559</v>
      </c>
      <c r="C369" s="8" t="str">
        <f t="shared" si="10"/>
        <v>2011</v>
      </c>
      <c r="D369" s="8" t="str">
        <f t="shared" si="11"/>
        <v>16</v>
      </c>
      <c r="E369" s="7">
        <v>1</v>
      </c>
      <c r="F369" s="7">
        <v>0</v>
      </c>
      <c r="G369" s="7">
        <v>1</v>
      </c>
      <c r="H369" s="7">
        <v>19</v>
      </c>
      <c r="I369" s="7" t="b">
        <v>0</v>
      </c>
      <c r="J369" s="22">
        <f>--Table1[[#This Row],[HOLIDAY]]</f>
        <v>0</v>
      </c>
      <c r="K369" s="9">
        <v>0</v>
      </c>
      <c r="L369" s="7">
        <v>1</v>
      </c>
      <c r="M369" s="7">
        <f>LEN(TEXT(Table1[[#This Row],[WEATHER]],"0"))</f>
        <v>1</v>
      </c>
      <c r="N369" s="36">
        <v>0.18</v>
      </c>
      <c r="O369" s="37">
        <f>VLOOKUP(Table1[[#This Row],[INSTANT]],[1]dataset_2!$A:$G,2,FALSE)</f>
        <v>0.18179999999999999</v>
      </c>
      <c r="P369" s="37">
        <f>VLOOKUP(Table1[[#This Row],[INSTANT]],[1]dataset_2!$A:$G,3,0)</f>
        <v>0.43</v>
      </c>
      <c r="Q369" s="37">
        <f>VLOOKUP(Table1[[#This Row],[INSTANT]],[1]dataset_2!$A:$D,4,FALSE)</f>
        <v>0.19400000000000001</v>
      </c>
      <c r="R369" s="37">
        <f>VLOOKUP(Table1[[#This Row],[INSTANT]],[1]dataset_2!$A:$G,5,0)</f>
        <v>0</v>
      </c>
      <c r="S369" s="38">
        <f>VLOOKUP(Table1[[#This Row],[INSTANT]],[1]dataset_2!$A:$G,6,0)</f>
        <v>5</v>
      </c>
      <c r="T369" s="38">
        <f>VLOOKUP(Table1[[#This Row],[INSTANT]],[1]dataset_2!$A:$G,7,0)</f>
        <v>5</v>
      </c>
    </row>
    <row r="370" spans="1:20" ht="13" x14ac:dyDescent="0.15">
      <c r="A370" s="35">
        <v>369</v>
      </c>
      <c r="B370" s="27">
        <v>40559</v>
      </c>
      <c r="C370" s="8" t="str">
        <f t="shared" si="10"/>
        <v>2011</v>
      </c>
      <c r="D370" s="8" t="str">
        <f t="shared" si="11"/>
        <v>16</v>
      </c>
      <c r="E370" s="7">
        <v>1</v>
      </c>
      <c r="F370" s="7">
        <v>0</v>
      </c>
      <c r="G370" s="7">
        <v>1</v>
      </c>
      <c r="H370" s="7">
        <v>20</v>
      </c>
      <c r="I370" s="7" t="b">
        <v>0</v>
      </c>
      <c r="J370" s="22">
        <f>--Table1[[#This Row],[HOLIDAY]]</f>
        <v>0</v>
      </c>
      <c r="K370" s="9">
        <v>0</v>
      </c>
      <c r="L370" s="7">
        <v>1</v>
      </c>
      <c r="M370" s="7">
        <f>LEN(TEXT(Table1[[#This Row],[WEATHER]],"0"))</f>
        <v>1</v>
      </c>
      <c r="N370" s="36">
        <v>0.18</v>
      </c>
      <c r="O370" s="37">
        <f>VLOOKUP(Table1[[#This Row],[INSTANT]],[1]dataset_2!$A:$G,2,FALSE)</f>
        <v>0.18179999999999999</v>
      </c>
      <c r="P370" s="37">
        <f>VLOOKUP(Table1[[#This Row],[INSTANT]],[1]dataset_2!$A:$G,3,0)</f>
        <v>0.5</v>
      </c>
      <c r="Q370" s="37">
        <f>VLOOKUP(Table1[[#This Row],[INSTANT]],[1]dataset_2!$A:$D,4,FALSE)</f>
        <v>0.1343</v>
      </c>
      <c r="R370" s="37">
        <f>VLOOKUP(Table1[[#This Row],[INSTANT]],[1]dataset_2!$A:$G,5,0)</f>
        <v>4</v>
      </c>
      <c r="S370" s="38">
        <f>VLOOKUP(Table1[[#This Row],[INSTANT]],[1]dataset_2!$A:$G,6,0)</f>
        <v>9</v>
      </c>
      <c r="T370" s="38">
        <f>VLOOKUP(Table1[[#This Row],[INSTANT]],[1]dataset_2!$A:$G,7,0)</f>
        <v>13</v>
      </c>
    </row>
    <row r="371" spans="1:20" ht="13" x14ac:dyDescent="0.15">
      <c r="A371" s="35">
        <v>370</v>
      </c>
      <c r="B371" s="27">
        <v>40559</v>
      </c>
      <c r="C371" s="8" t="str">
        <f t="shared" si="10"/>
        <v>2011</v>
      </c>
      <c r="D371" s="8" t="str">
        <f t="shared" si="11"/>
        <v>16</v>
      </c>
      <c r="E371" s="7">
        <v>1</v>
      </c>
      <c r="F371" s="7">
        <v>0</v>
      </c>
      <c r="G371" s="7">
        <v>1</v>
      </c>
      <c r="H371" s="7">
        <v>21</v>
      </c>
      <c r="I371" s="7" t="b">
        <v>0</v>
      </c>
      <c r="J371" s="22">
        <f>--Table1[[#This Row],[HOLIDAY]]</f>
        <v>0</v>
      </c>
      <c r="K371" s="9">
        <v>0</v>
      </c>
      <c r="L371" s="7">
        <v>1</v>
      </c>
      <c r="M371" s="7">
        <f>LEN(TEXT(Table1[[#This Row],[WEATHER]],"0"))</f>
        <v>1</v>
      </c>
      <c r="N371" s="36">
        <v>0.18</v>
      </c>
      <c r="O371" s="37">
        <f>VLOOKUP(Table1[[#This Row],[INSTANT]],[1]dataset_2!$A:$G,2,FALSE)</f>
        <v>0.1515</v>
      </c>
      <c r="P371" s="37">
        <f>VLOOKUP(Table1[[#This Row],[INSTANT]],[1]dataset_2!$A:$G,3,0)</f>
        <v>0.47</v>
      </c>
      <c r="Q371" s="37">
        <f>VLOOKUP(Table1[[#This Row],[INSTANT]],[1]dataset_2!$A:$D,4,FALSE)</f>
        <v>0.22389999999999999</v>
      </c>
      <c r="R371" s="37">
        <f>VLOOKUP(Table1[[#This Row],[INSTANT]],[1]dataset_2!$A:$G,5,0)</f>
        <v>3</v>
      </c>
      <c r="S371" s="38">
        <f>VLOOKUP(Table1[[#This Row],[INSTANT]],[1]dataset_2!$A:$G,6,0)</f>
        <v>30</v>
      </c>
      <c r="T371" s="38">
        <f>VLOOKUP(Table1[[#This Row],[INSTANT]],[1]dataset_2!$A:$G,7,0)</f>
        <v>33</v>
      </c>
    </row>
    <row r="372" spans="1:20" ht="13" x14ac:dyDescent="0.15">
      <c r="A372" s="35">
        <v>371</v>
      </c>
      <c r="B372" s="27">
        <v>40559</v>
      </c>
      <c r="C372" s="8" t="str">
        <f t="shared" si="10"/>
        <v>2011</v>
      </c>
      <c r="D372" s="8" t="str">
        <f t="shared" si="11"/>
        <v>16</v>
      </c>
      <c r="E372" s="7">
        <v>1</v>
      </c>
      <c r="F372" s="7">
        <v>0</v>
      </c>
      <c r="G372" s="7">
        <v>1</v>
      </c>
      <c r="H372" s="7">
        <v>22</v>
      </c>
      <c r="I372" s="7" t="b">
        <v>0</v>
      </c>
      <c r="J372" s="22">
        <f>--Table1[[#This Row],[HOLIDAY]]</f>
        <v>0</v>
      </c>
      <c r="K372" s="9">
        <v>0</v>
      </c>
      <c r="L372" s="7">
        <v>2</v>
      </c>
      <c r="M372" s="7">
        <f>LEN(TEXT(Table1[[#This Row],[WEATHER]],"0"))</f>
        <v>1</v>
      </c>
      <c r="N372" s="36">
        <v>0.2</v>
      </c>
      <c r="O372" s="37">
        <f>VLOOKUP(Table1[[#This Row],[INSTANT]],[1]dataset_2!$A:$G,2,FALSE)</f>
        <v>0.1515</v>
      </c>
      <c r="P372" s="37">
        <f>VLOOKUP(Table1[[#This Row],[INSTANT]],[1]dataset_2!$A:$G,3,0)</f>
        <v>0.47</v>
      </c>
      <c r="Q372" s="37">
        <f>VLOOKUP(Table1[[#This Row],[INSTANT]],[1]dataset_2!$A:$D,4,FALSE)</f>
        <v>0.22389999999999999</v>
      </c>
      <c r="R372" s="37">
        <f>VLOOKUP(Table1[[#This Row],[INSTANT]],[1]dataset_2!$A:$G,5,0)</f>
        <v>8</v>
      </c>
      <c r="S372" s="38">
        <f>VLOOKUP(Table1[[#This Row],[INSTANT]],[1]dataset_2!$A:$G,6,0)</f>
        <v>39</v>
      </c>
      <c r="T372" s="38">
        <f>VLOOKUP(Table1[[#This Row],[INSTANT]],[1]dataset_2!$A:$G,7,0)</f>
        <v>47</v>
      </c>
    </row>
    <row r="373" spans="1:20" ht="13" x14ac:dyDescent="0.15">
      <c r="A373" s="35">
        <v>372</v>
      </c>
      <c r="B373" s="27">
        <v>40559</v>
      </c>
      <c r="C373" s="8" t="str">
        <f t="shared" si="10"/>
        <v>2011</v>
      </c>
      <c r="D373" s="8" t="str">
        <f t="shared" si="11"/>
        <v>16</v>
      </c>
      <c r="E373" s="7">
        <v>1</v>
      </c>
      <c r="F373" s="7">
        <v>0</v>
      </c>
      <c r="G373" s="7">
        <v>1</v>
      </c>
      <c r="H373" s="7">
        <v>23</v>
      </c>
      <c r="I373" s="7" t="b">
        <v>0</v>
      </c>
      <c r="J373" s="22">
        <f>--Table1[[#This Row],[HOLIDAY]]</f>
        <v>0</v>
      </c>
      <c r="K373" s="9">
        <v>0</v>
      </c>
      <c r="L373" s="7">
        <v>2</v>
      </c>
      <c r="M373" s="7">
        <f>LEN(TEXT(Table1[[#This Row],[WEATHER]],"0"))</f>
        <v>1</v>
      </c>
      <c r="N373" s="36">
        <v>0.2</v>
      </c>
      <c r="O373" s="37">
        <f>VLOOKUP(Table1[[#This Row],[INSTANT]],[1]dataset_2!$A:$G,2,FALSE)</f>
        <v>0.1515</v>
      </c>
      <c r="P373" s="37">
        <f>VLOOKUP(Table1[[#This Row],[INSTANT]],[1]dataset_2!$A:$G,3,0)</f>
        <v>0.5</v>
      </c>
      <c r="Q373" s="37">
        <f>VLOOKUP(Table1[[#This Row],[INSTANT]],[1]dataset_2!$A:$D,4,FALSE)</f>
        <v>0.25369999999999998</v>
      </c>
      <c r="R373" s="37">
        <f>VLOOKUP(Table1[[#This Row],[INSTANT]],[1]dataset_2!$A:$G,5,0)</f>
        <v>7</v>
      </c>
      <c r="S373" s="38">
        <f>VLOOKUP(Table1[[#This Row],[INSTANT]],[1]dataset_2!$A:$G,6,0)</f>
        <v>50</v>
      </c>
      <c r="T373" s="38">
        <f>VLOOKUP(Table1[[#This Row],[INSTANT]],[1]dataset_2!$A:$G,7,0)</f>
        <v>57</v>
      </c>
    </row>
    <row r="374" spans="1:20" ht="13" x14ac:dyDescent="0.15">
      <c r="A374" s="35">
        <v>373</v>
      </c>
      <c r="B374" s="27">
        <v>40560</v>
      </c>
      <c r="C374" s="8" t="str">
        <f t="shared" si="10"/>
        <v>2011</v>
      </c>
      <c r="D374" s="8" t="str">
        <f t="shared" si="11"/>
        <v>17</v>
      </c>
      <c r="E374" s="7">
        <v>1</v>
      </c>
      <c r="F374" s="7">
        <v>0</v>
      </c>
      <c r="G374" s="7">
        <v>1</v>
      </c>
      <c r="H374" s="7">
        <v>0</v>
      </c>
      <c r="I374" s="7" t="b">
        <v>1</v>
      </c>
      <c r="J374" s="22">
        <f>--Table1[[#This Row],[HOLIDAY]]</f>
        <v>1</v>
      </c>
      <c r="K374" s="9">
        <v>1</v>
      </c>
      <c r="L374" s="7">
        <v>2</v>
      </c>
      <c r="M374" s="7">
        <f>LEN(TEXT(Table1[[#This Row],[WEATHER]],"0"))</f>
        <v>1</v>
      </c>
      <c r="N374" s="36">
        <v>0.2</v>
      </c>
      <c r="O374" s="37">
        <f>VLOOKUP(Table1[[#This Row],[INSTANT]],[1]dataset_2!$A:$G,2,FALSE)</f>
        <v>0.1515</v>
      </c>
      <c r="P374" s="37">
        <f>VLOOKUP(Table1[[#This Row],[INSTANT]],[1]dataset_2!$A:$G,3,0)</f>
        <v>0.55000000000000004</v>
      </c>
      <c r="Q374" s="37">
        <f>VLOOKUP(Table1[[#This Row],[INSTANT]],[1]dataset_2!$A:$D,4,FALSE)</f>
        <v>0.19400000000000001</v>
      </c>
      <c r="R374" s="37">
        <f>VLOOKUP(Table1[[#This Row],[INSTANT]],[1]dataset_2!$A:$G,5,0)</f>
        <v>9</v>
      </c>
      <c r="S374" s="38">
        <f>VLOOKUP(Table1[[#This Row],[INSTANT]],[1]dataset_2!$A:$G,6,0)</f>
        <v>55</v>
      </c>
      <c r="T374" s="38">
        <f>VLOOKUP(Table1[[#This Row],[INSTANT]],[1]dataset_2!$A:$G,7,0)</f>
        <v>64</v>
      </c>
    </row>
    <row r="375" spans="1:20" ht="13" x14ac:dyDescent="0.15">
      <c r="A375" s="35">
        <v>374</v>
      </c>
      <c r="B375" s="27">
        <v>40560</v>
      </c>
      <c r="C375" s="8" t="str">
        <f t="shared" si="10"/>
        <v>2011</v>
      </c>
      <c r="D375" s="8" t="str">
        <f t="shared" si="11"/>
        <v>17</v>
      </c>
      <c r="E375" s="7">
        <v>1</v>
      </c>
      <c r="F375" s="7">
        <v>0</v>
      </c>
      <c r="G375" s="7">
        <v>1</v>
      </c>
      <c r="H375" s="7">
        <v>1</v>
      </c>
      <c r="I375" s="7" t="b">
        <v>1</v>
      </c>
      <c r="J375" s="22">
        <f>--Table1[[#This Row],[HOLIDAY]]</f>
        <v>1</v>
      </c>
      <c r="K375" s="9">
        <v>1</v>
      </c>
      <c r="L375" s="7">
        <v>2</v>
      </c>
      <c r="M375" s="7">
        <f>LEN(TEXT(Table1[[#This Row],[WEATHER]],"0"))</f>
        <v>1</v>
      </c>
      <c r="N375" s="36">
        <v>0.2</v>
      </c>
      <c r="O375" s="37">
        <f>VLOOKUP(Table1[[#This Row],[INSTANT]],[1]dataset_2!$A:$G,2,FALSE)</f>
        <v>0.19700000000000001</v>
      </c>
      <c r="P375" s="37">
        <f>VLOOKUP(Table1[[#This Row],[INSTANT]],[1]dataset_2!$A:$G,3,0)</f>
        <v>0.47</v>
      </c>
      <c r="Q375" s="37">
        <f>VLOOKUP(Table1[[#This Row],[INSTANT]],[1]dataset_2!$A:$D,4,FALSE)</f>
        <v>0.1343</v>
      </c>
      <c r="R375" s="37">
        <f>VLOOKUP(Table1[[#This Row],[INSTANT]],[1]dataset_2!$A:$G,5,0)</f>
        <v>10</v>
      </c>
      <c r="S375" s="38">
        <f>VLOOKUP(Table1[[#This Row],[INSTANT]],[1]dataset_2!$A:$G,6,0)</f>
        <v>70</v>
      </c>
      <c r="T375" s="38">
        <f>VLOOKUP(Table1[[#This Row],[INSTANT]],[1]dataset_2!$A:$G,7,0)</f>
        <v>80</v>
      </c>
    </row>
    <row r="376" spans="1:20" ht="13" x14ac:dyDescent="0.15">
      <c r="A376" s="35">
        <v>375</v>
      </c>
      <c r="B376" s="27">
        <v>40560</v>
      </c>
      <c r="C376" s="8" t="str">
        <f t="shared" si="10"/>
        <v>2011</v>
      </c>
      <c r="D376" s="8" t="str">
        <f t="shared" si="11"/>
        <v>17</v>
      </c>
      <c r="E376" s="7">
        <v>1</v>
      </c>
      <c r="F376" s="7">
        <v>0</v>
      </c>
      <c r="G376" s="7">
        <v>1</v>
      </c>
      <c r="H376" s="7">
        <v>2</v>
      </c>
      <c r="I376" s="7" t="b">
        <v>1</v>
      </c>
      <c r="J376" s="22">
        <f>--Table1[[#This Row],[HOLIDAY]]</f>
        <v>1</v>
      </c>
      <c r="K376" s="9">
        <v>1</v>
      </c>
      <c r="L376" s="7">
        <v>2</v>
      </c>
      <c r="M376" s="7">
        <f>LEN(TEXT(Table1[[#This Row],[WEATHER]],"0"))</f>
        <v>1</v>
      </c>
      <c r="N376" s="36">
        <v>0.18</v>
      </c>
      <c r="O376" s="37">
        <f>VLOOKUP(Table1[[#This Row],[INSTANT]],[1]dataset_2!$A:$G,2,FALSE)</f>
        <v>0.19700000000000001</v>
      </c>
      <c r="P376" s="37">
        <f>VLOOKUP(Table1[[#This Row],[INSTANT]],[1]dataset_2!$A:$G,3,0)</f>
        <v>0.47</v>
      </c>
      <c r="Q376" s="37">
        <f>VLOOKUP(Table1[[#This Row],[INSTANT]],[1]dataset_2!$A:$D,4,FALSE)</f>
        <v>0.1343</v>
      </c>
      <c r="R376" s="37">
        <f>VLOOKUP(Table1[[#This Row],[INSTANT]],[1]dataset_2!$A:$G,5,0)</f>
        <v>13</v>
      </c>
      <c r="S376" s="38">
        <f>VLOOKUP(Table1[[#This Row],[INSTANT]],[1]dataset_2!$A:$G,6,0)</f>
        <v>80</v>
      </c>
      <c r="T376" s="38">
        <f>VLOOKUP(Table1[[#This Row],[INSTANT]],[1]dataset_2!$A:$G,7,0)</f>
        <v>93</v>
      </c>
    </row>
    <row r="377" spans="1:20" ht="13" x14ac:dyDescent="0.15">
      <c r="A377" s="35">
        <v>376</v>
      </c>
      <c r="B377" s="27">
        <v>40560</v>
      </c>
      <c r="C377" s="8" t="str">
        <f t="shared" si="10"/>
        <v>2011</v>
      </c>
      <c r="D377" s="8" t="str">
        <f t="shared" si="11"/>
        <v>17</v>
      </c>
      <c r="E377" s="7">
        <v>1</v>
      </c>
      <c r="F377" s="7">
        <v>0</v>
      </c>
      <c r="G377" s="7">
        <v>1</v>
      </c>
      <c r="H377" s="7">
        <v>3</v>
      </c>
      <c r="I377" s="7" t="b">
        <v>1</v>
      </c>
      <c r="J377" s="22">
        <f>--Table1[[#This Row],[HOLIDAY]]</f>
        <v>1</v>
      </c>
      <c r="K377" s="9">
        <v>1</v>
      </c>
      <c r="L377" s="7">
        <v>2</v>
      </c>
      <c r="M377" s="7">
        <f>LEN(TEXT(Table1[[#This Row],[WEATHER]],"0"))</f>
        <v>1</v>
      </c>
      <c r="N377" s="36">
        <v>0.18</v>
      </c>
      <c r="O377" s="37">
        <f>VLOOKUP(Table1[[#This Row],[INSTANT]],[1]dataset_2!$A:$G,2,FALSE)</f>
        <v>0.21210000000000001</v>
      </c>
      <c r="P377" s="37">
        <f>VLOOKUP(Table1[[#This Row],[INSTANT]],[1]dataset_2!$A:$G,3,0)</f>
        <v>0.43</v>
      </c>
      <c r="Q377" s="37">
        <f>VLOOKUP(Table1[[#This Row],[INSTANT]],[1]dataset_2!$A:$D,4,FALSE)</f>
        <v>0.1045</v>
      </c>
      <c r="R377" s="37">
        <f>VLOOKUP(Table1[[#This Row],[INSTANT]],[1]dataset_2!$A:$G,5,0)</f>
        <v>12</v>
      </c>
      <c r="S377" s="38">
        <f>VLOOKUP(Table1[[#This Row],[INSTANT]],[1]dataset_2!$A:$G,6,0)</f>
        <v>74</v>
      </c>
      <c r="T377" s="38">
        <f>VLOOKUP(Table1[[#This Row],[INSTANT]],[1]dataset_2!$A:$G,7,0)</f>
        <v>86</v>
      </c>
    </row>
    <row r="378" spans="1:20" ht="13" x14ac:dyDescent="0.15">
      <c r="A378" s="35">
        <v>377</v>
      </c>
      <c r="B378" s="27">
        <v>40560</v>
      </c>
      <c r="C378" s="8" t="str">
        <f t="shared" si="10"/>
        <v>2011</v>
      </c>
      <c r="D378" s="8" t="str">
        <f t="shared" si="11"/>
        <v>17</v>
      </c>
      <c r="E378" s="7">
        <v>1</v>
      </c>
      <c r="F378" s="7">
        <v>0</v>
      </c>
      <c r="G378" s="7">
        <v>1</v>
      </c>
      <c r="H378" s="7">
        <v>4</v>
      </c>
      <c r="I378" s="7" t="b">
        <v>1</v>
      </c>
      <c r="J378" s="22">
        <f>--Table1[[#This Row],[HOLIDAY]]</f>
        <v>1</v>
      </c>
      <c r="K378" s="9">
        <v>1</v>
      </c>
      <c r="L378" s="7">
        <v>2</v>
      </c>
      <c r="M378" s="7">
        <f>LEN(TEXT(Table1[[#This Row],[WEATHER]],"0"))</f>
        <v>1</v>
      </c>
      <c r="N378" s="36">
        <v>0.18</v>
      </c>
      <c r="O378" s="37">
        <f>VLOOKUP(Table1[[#This Row],[INSTANT]],[1]dataset_2!$A:$G,2,FALSE)</f>
        <v>0.21210000000000001</v>
      </c>
      <c r="P378" s="37">
        <f>VLOOKUP(Table1[[#This Row],[INSTANT]],[1]dataset_2!$A:$G,3,0)</f>
        <v>0.47</v>
      </c>
      <c r="Q378" s="37">
        <f>VLOOKUP(Table1[[#This Row],[INSTANT]],[1]dataset_2!$A:$D,4,FALSE)</f>
        <v>0.16420000000000001</v>
      </c>
      <c r="R378" s="37">
        <f>VLOOKUP(Table1[[#This Row],[INSTANT]],[1]dataset_2!$A:$G,5,0)</f>
        <v>21</v>
      </c>
      <c r="S378" s="38">
        <f>VLOOKUP(Table1[[#This Row],[INSTANT]],[1]dataset_2!$A:$G,6,0)</f>
        <v>72</v>
      </c>
      <c r="T378" s="38">
        <f>VLOOKUP(Table1[[#This Row],[INSTANT]],[1]dataset_2!$A:$G,7,0)</f>
        <v>93</v>
      </c>
    </row>
    <row r="379" spans="1:20" ht="13" x14ac:dyDescent="0.15">
      <c r="A379" s="35">
        <v>378</v>
      </c>
      <c r="B379" s="27">
        <v>40560</v>
      </c>
      <c r="C379" s="8" t="str">
        <f t="shared" si="10"/>
        <v>2011</v>
      </c>
      <c r="D379" s="8" t="str">
        <f t="shared" si="11"/>
        <v>17</v>
      </c>
      <c r="E379" s="7">
        <v>1</v>
      </c>
      <c r="F379" s="7">
        <v>0</v>
      </c>
      <c r="G379" s="7">
        <v>1</v>
      </c>
      <c r="H379" s="7">
        <v>5</v>
      </c>
      <c r="I379" s="7" t="b">
        <v>1</v>
      </c>
      <c r="J379" s="22">
        <f>--Table1[[#This Row],[HOLIDAY]]</f>
        <v>1</v>
      </c>
      <c r="K379" s="9">
        <v>1</v>
      </c>
      <c r="L379" s="7">
        <v>2</v>
      </c>
      <c r="M379" s="7">
        <f>LEN(TEXT(Table1[[#This Row],[WEATHER]],"0"))</f>
        <v>1</v>
      </c>
      <c r="N379" s="36">
        <v>0.18</v>
      </c>
      <c r="O379" s="37">
        <f>VLOOKUP(Table1[[#This Row],[INSTANT]],[1]dataset_2!$A:$G,2,FALSE)</f>
        <v>0.21210000000000001</v>
      </c>
      <c r="P379" s="37">
        <f>VLOOKUP(Table1[[#This Row],[INSTANT]],[1]dataset_2!$A:$G,3,0)</f>
        <v>0.47</v>
      </c>
      <c r="Q379" s="37">
        <f>VLOOKUP(Table1[[#This Row],[INSTANT]],[1]dataset_2!$A:$D,4,FALSE)</f>
        <v>0.16420000000000001</v>
      </c>
      <c r="R379" s="37">
        <f>VLOOKUP(Table1[[#This Row],[INSTANT]],[1]dataset_2!$A:$G,5,0)</f>
        <v>6</v>
      </c>
      <c r="S379" s="38">
        <f>VLOOKUP(Table1[[#This Row],[INSTANT]],[1]dataset_2!$A:$G,6,0)</f>
        <v>76</v>
      </c>
      <c r="T379" s="38">
        <f>VLOOKUP(Table1[[#This Row],[INSTANT]],[1]dataset_2!$A:$G,7,0)</f>
        <v>82</v>
      </c>
    </row>
    <row r="380" spans="1:20" ht="13" x14ac:dyDescent="0.15">
      <c r="A380" s="35">
        <v>379</v>
      </c>
      <c r="B380" s="27">
        <v>40560</v>
      </c>
      <c r="C380" s="8" t="str">
        <f t="shared" si="10"/>
        <v>2011</v>
      </c>
      <c r="D380" s="8" t="str">
        <f t="shared" si="11"/>
        <v>17</v>
      </c>
      <c r="E380" s="7">
        <v>1</v>
      </c>
      <c r="F380" s="7">
        <v>0</v>
      </c>
      <c r="G380" s="7">
        <v>1</v>
      </c>
      <c r="H380" s="7">
        <v>6</v>
      </c>
      <c r="I380" s="7" t="b">
        <v>1</v>
      </c>
      <c r="J380" s="22">
        <f>--Table1[[#This Row],[HOLIDAY]]</f>
        <v>1</v>
      </c>
      <c r="K380" s="9">
        <v>1</v>
      </c>
      <c r="L380" s="7">
        <v>2</v>
      </c>
      <c r="M380" s="7">
        <f>LEN(TEXT(Table1[[#This Row],[WEATHER]],"0"))</f>
        <v>1</v>
      </c>
      <c r="N380" s="36">
        <v>0.18</v>
      </c>
      <c r="O380" s="37">
        <f>VLOOKUP(Table1[[#This Row],[INSTANT]],[1]dataset_2!$A:$G,2,FALSE)</f>
        <v>0.19700000000000001</v>
      </c>
      <c r="P380" s="37">
        <f>VLOOKUP(Table1[[#This Row],[INSTANT]],[1]dataset_2!$A:$G,3,0)</f>
        <v>0.51</v>
      </c>
      <c r="Q380" s="37">
        <f>VLOOKUP(Table1[[#This Row],[INSTANT]],[1]dataset_2!$A:$D,4,FALSE)</f>
        <v>0.19400000000000001</v>
      </c>
      <c r="R380" s="37">
        <f>VLOOKUP(Table1[[#This Row],[INSTANT]],[1]dataset_2!$A:$G,5,0)</f>
        <v>4</v>
      </c>
      <c r="S380" s="38">
        <f>VLOOKUP(Table1[[#This Row],[INSTANT]],[1]dataset_2!$A:$G,6,0)</f>
        <v>67</v>
      </c>
      <c r="T380" s="38">
        <f>VLOOKUP(Table1[[#This Row],[INSTANT]],[1]dataset_2!$A:$G,7,0)</f>
        <v>71</v>
      </c>
    </row>
    <row r="381" spans="1:20" ht="13" x14ac:dyDescent="0.15">
      <c r="A381" s="35">
        <v>380</v>
      </c>
      <c r="B381" s="27">
        <v>40560</v>
      </c>
      <c r="C381" s="8" t="str">
        <f t="shared" si="10"/>
        <v>2011</v>
      </c>
      <c r="D381" s="8" t="str">
        <f t="shared" si="11"/>
        <v>17</v>
      </c>
      <c r="E381" s="7">
        <v>1</v>
      </c>
      <c r="F381" s="7">
        <v>0</v>
      </c>
      <c r="G381" s="7">
        <v>1</v>
      </c>
      <c r="H381" s="7">
        <v>7</v>
      </c>
      <c r="I381" s="7" t="b">
        <v>1</v>
      </c>
      <c r="J381" s="22">
        <f>--Table1[[#This Row],[HOLIDAY]]</f>
        <v>1</v>
      </c>
      <c r="K381" s="9">
        <v>1</v>
      </c>
      <c r="L381" s="7">
        <v>2</v>
      </c>
      <c r="M381" s="7">
        <f>LEN(TEXT(Table1[[#This Row],[WEATHER]],"0"))</f>
        <v>1</v>
      </c>
      <c r="N381" s="36">
        <v>0.16</v>
      </c>
      <c r="O381" s="37">
        <f>VLOOKUP(Table1[[#This Row],[INSTANT]],[1]dataset_2!$A:$G,2,FALSE)</f>
        <v>0.16669999999999999</v>
      </c>
      <c r="P381" s="37">
        <f>VLOOKUP(Table1[[#This Row],[INSTANT]],[1]dataset_2!$A:$G,3,0)</f>
        <v>0.55000000000000004</v>
      </c>
      <c r="Q381" s="37">
        <f>VLOOKUP(Table1[[#This Row],[INSTANT]],[1]dataset_2!$A:$D,4,FALSE)</f>
        <v>0.25369999999999998</v>
      </c>
      <c r="R381" s="37">
        <f>VLOOKUP(Table1[[#This Row],[INSTANT]],[1]dataset_2!$A:$G,5,0)</f>
        <v>7</v>
      </c>
      <c r="S381" s="38">
        <f>VLOOKUP(Table1[[#This Row],[INSTANT]],[1]dataset_2!$A:$G,6,0)</f>
        <v>85</v>
      </c>
      <c r="T381" s="38">
        <f>VLOOKUP(Table1[[#This Row],[INSTANT]],[1]dataset_2!$A:$G,7,0)</f>
        <v>92</v>
      </c>
    </row>
    <row r="382" spans="1:20" ht="13" x14ac:dyDescent="0.15">
      <c r="A382" s="35">
        <v>381</v>
      </c>
      <c r="B382" s="27">
        <v>40560</v>
      </c>
      <c r="C382" s="8" t="str">
        <f t="shared" si="10"/>
        <v>2011</v>
      </c>
      <c r="D382" s="8" t="str">
        <f t="shared" si="11"/>
        <v>17</v>
      </c>
      <c r="E382" s="7">
        <v>1</v>
      </c>
      <c r="F382" s="7">
        <v>0</v>
      </c>
      <c r="G382" s="7">
        <v>1</v>
      </c>
      <c r="H382" s="7">
        <v>8</v>
      </c>
      <c r="I382" s="7" t="b">
        <v>1</v>
      </c>
      <c r="J382" s="22">
        <f>--Table1[[#This Row],[HOLIDAY]]</f>
        <v>1</v>
      </c>
      <c r="K382" s="9">
        <v>1</v>
      </c>
      <c r="L382" s="7">
        <v>2</v>
      </c>
      <c r="M382" s="7">
        <f>LEN(TEXT(Table1[[#This Row],[WEATHER]],"0"))</f>
        <v>1</v>
      </c>
      <c r="N382" s="36">
        <v>0.16</v>
      </c>
      <c r="O382" s="37">
        <f>VLOOKUP(Table1[[#This Row],[INSTANT]],[1]dataset_2!$A:$G,2,FALSE)</f>
        <v>0.18179999999999999</v>
      </c>
      <c r="P382" s="37">
        <f>VLOOKUP(Table1[[#This Row],[INSTANT]],[1]dataset_2!$A:$G,3,0)</f>
        <v>0.59</v>
      </c>
      <c r="Q382" s="37">
        <f>VLOOKUP(Table1[[#This Row],[INSTANT]],[1]dataset_2!$A:$D,4,FALSE)</f>
        <v>0.19400000000000001</v>
      </c>
      <c r="R382" s="37">
        <f>VLOOKUP(Table1[[#This Row],[INSTANT]],[1]dataset_2!$A:$G,5,0)</f>
        <v>2</v>
      </c>
      <c r="S382" s="38">
        <f>VLOOKUP(Table1[[#This Row],[INSTANT]],[1]dataset_2!$A:$G,6,0)</f>
        <v>58</v>
      </c>
      <c r="T382" s="38">
        <f>VLOOKUP(Table1[[#This Row],[INSTANT]],[1]dataset_2!$A:$G,7,0)</f>
        <v>60</v>
      </c>
    </row>
    <row r="383" spans="1:20" ht="13" x14ac:dyDescent="0.15">
      <c r="A383" s="35">
        <v>382</v>
      </c>
      <c r="B383" s="27">
        <v>40560</v>
      </c>
      <c r="C383" s="8" t="str">
        <f t="shared" si="10"/>
        <v>2011</v>
      </c>
      <c r="D383" s="8" t="str">
        <f t="shared" si="11"/>
        <v>17</v>
      </c>
      <c r="E383" s="7">
        <v>1</v>
      </c>
      <c r="F383" s="7">
        <v>0</v>
      </c>
      <c r="G383" s="7">
        <v>1</v>
      </c>
      <c r="H383" s="7">
        <v>9</v>
      </c>
      <c r="I383" s="7" t="b">
        <v>1</v>
      </c>
      <c r="J383" s="22">
        <f>--Table1[[#This Row],[HOLIDAY]]</f>
        <v>1</v>
      </c>
      <c r="K383" s="9">
        <v>1</v>
      </c>
      <c r="L383" s="7">
        <v>2</v>
      </c>
      <c r="M383" s="7">
        <f>LEN(TEXT(Table1[[#This Row],[WEATHER]],"0"))</f>
        <v>1</v>
      </c>
      <c r="N383" s="36">
        <v>0.16</v>
      </c>
      <c r="O383" s="37">
        <f>VLOOKUP(Table1[[#This Row],[INSTANT]],[1]dataset_2!$A:$G,2,FALSE)</f>
        <v>0.1515</v>
      </c>
      <c r="P383" s="37">
        <f>VLOOKUP(Table1[[#This Row],[INSTANT]],[1]dataset_2!$A:$G,3,0)</f>
        <v>0.8</v>
      </c>
      <c r="Q383" s="37">
        <f>VLOOKUP(Table1[[#This Row],[INSTANT]],[1]dataset_2!$A:$D,4,FALSE)</f>
        <v>0.19400000000000001</v>
      </c>
      <c r="R383" s="37">
        <f>VLOOKUP(Table1[[#This Row],[INSTANT]],[1]dataset_2!$A:$G,5,0)</f>
        <v>4</v>
      </c>
      <c r="S383" s="38">
        <f>VLOOKUP(Table1[[#This Row],[INSTANT]],[1]dataset_2!$A:$G,6,0)</f>
        <v>29</v>
      </c>
      <c r="T383" s="38">
        <f>VLOOKUP(Table1[[#This Row],[INSTANT]],[1]dataset_2!$A:$G,7,0)</f>
        <v>33</v>
      </c>
    </row>
    <row r="384" spans="1:20" ht="13" x14ac:dyDescent="0.15">
      <c r="A384" s="35">
        <v>383</v>
      </c>
      <c r="B384" s="27">
        <v>40560</v>
      </c>
      <c r="C384" s="8" t="str">
        <f t="shared" si="10"/>
        <v>2011</v>
      </c>
      <c r="D384" s="8" t="str">
        <f t="shared" si="11"/>
        <v>17</v>
      </c>
      <c r="E384" s="7">
        <v>1</v>
      </c>
      <c r="F384" s="7">
        <v>0</v>
      </c>
      <c r="G384" s="7">
        <v>1</v>
      </c>
      <c r="H384" s="7">
        <v>10</v>
      </c>
      <c r="I384" s="7" t="b">
        <v>1</v>
      </c>
      <c r="J384" s="22">
        <f>--Table1[[#This Row],[HOLIDAY]]</f>
        <v>1</v>
      </c>
      <c r="K384" s="9">
        <v>1</v>
      </c>
      <c r="L384" s="7">
        <v>2</v>
      </c>
      <c r="M384" s="7">
        <f>LEN(TEXT(Table1[[#This Row],[WEATHER]],"0"))</f>
        <v>1</v>
      </c>
      <c r="N384" s="36">
        <v>0.16</v>
      </c>
      <c r="O384" s="37">
        <f>VLOOKUP(Table1[[#This Row],[INSTANT]],[1]dataset_2!$A:$G,2,FALSE)</f>
        <v>0.1515</v>
      </c>
      <c r="P384" s="37">
        <f>VLOOKUP(Table1[[#This Row],[INSTANT]],[1]dataset_2!$A:$G,3,0)</f>
        <v>0.8</v>
      </c>
      <c r="Q384" s="37">
        <f>VLOOKUP(Table1[[#This Row],[INSTANT]],[1]dataset_2!$A:$D,4,FALSE)</f>
        <v>0.19400000000000001</v>
      </c>
      <c r="R384" s="37">
        <f>VLOOKUP(Table1[[#This Row],[INSTANT]],[1]dataset_2!$A:$G,5,0)</f>
        <v>3</v>
      </c>
      <c r="S384" s="38">
        <f>VLOOKUP(Table1[[#This Row],[INSTANT]],[1]dataset_2!$A:$G,6,0)</f>
        <v>24</v>
      </c>
      <c r="T384" s="38">
        <f>VLOOKUP(Table1[[#This Row],[INSTANT]],[1]dataset_2!$A:$G,7,0)</f>
        <v>27</v>
      </c>
    </row>
    <row r="385" spans="1:20" ht="13" x14ac:dyDescent="0.15">
      <c r="A385" s="35">
        <v>384</v>
      </c>
      <c r="B385" s="27">
        <v>40560</v>
      </c>
      <c r="C385" s="8" t="str">
        <f t="shared" si="10"/>
        <v>2011</v>
      </c>
      <c r="D385" s="8" t="str">
        <f t="shared" si="11"/>
        <v>17</v>
      </c>
      <c r="E385" s="7">
        <v>1</v>
      </c>
      <c r="F385" s="7">
        <v>0</v>
      </c>
      <c r="G385" s="7">
        <v>1</v>
      </c>
      <c r="H385" s="7">
        <v>11</v>
      </c>
      <c r="I385" s="7" t="b">
        <v>1</v>
      </c>
      <c r="J385" s="22">
        <f>--Table1[[#This Row],[HOLIDAY]]</f>
        <v>1</v>
      </c>
      <c r="K385" s="9">
        <v>1</v>
      </c>
      <c r="L385" s="7">
        <v>2</v>
      </c>
      <c r="M385" s="7">
        <f>LEN(TEXT(Table1[[#This Row],[WEATHER]],"0"))</f>
        <v>1</v>
      </c>
      <c r="N385" s="36">
        <v>0.16</v>
      </c>
      <c r="O385" s="37">
        <f>VLOOKUP(Table1[[#This Row],[INSTANT]],[1]dataset_2!$A:$G,2,FALSE)</f>
        <v>0.1212</v>
      </c>
      <c r="P385" s="37">
        <f>VLOOKUP(Table1[[#This Row],[INSTANT]],[1]dataset_2!$A:$G,3,0)</f>
        <v>0.93</v>
      </c>
      <c r="Q385" s="37">
        <f>VLOOKUP(Table1[[#This Row],[INSTANT]],[1]dataset_2!$A:$D,4,FALSE)</f>
        <v>0.25369999999999998</v>
      </c>
      <c r="R385" s="37">
        <f>VLOOKUP(Table1[[#This Row],[INSTANT]],[1]dataset_2!$A:$G,5,0)</f>
        <v>0</v>
      </c>
      <c r="S385" s="38">
        <f>VLOOKUP(Table1[[#This Row],[INSTANT]],[1]dataset_2!$A:$G,6,0)</f>
        <v>13</v>
      </c>
      <c r="T385" s="38">
        <f>VLOOKUP(Table1[[#This Row],[INSTANT]],[1]dataset_2!$A:$G,7,0)</f>
        <v>13</v>
      </c>
    </row>
    <row r="386" spans="1:20" ht="13" x14ac:dyDescent="0.15">
      <c r="A386" s="35">
        <v>385</v>
      </c>
      <c r="B386" s="27">
        <v>40560</v>
      </c>
      <c r="C386" s="8" t="str">
        <f t="shared" ref="C386:C449" si="12">RIGHT(TEXT(B387,"DD-MM-YYYY"),4)</f>
        <v>2011</v>
      </c>
      <c r="D386" s="8" t="str">
        <f t="shared" ref="D386:D449" si="13">LEFT(TEXT(B386,"DD-MM-YYYY"),2)</f>
        <v>17</v>
      </c>
      <c r="E386" s="7">
        <v>1</v>
      </c>
      <c r="F386" s="7">
        <v>0</v>
      </c>
      <c r="G386" s="7">
        <v>1</v>
      </c>
      <c r="H386" s="7">
        <v>12</v>
      </c>
      <c r="I386" s="7" t="b">
        <v>1</v>
      </c>
      <c r="J386" s="22">
        <f>--Table1[[#This Row],[HOLIDAY]]</f>
        <v>1</v>
      </c>
      <c r="K386" s="9">
        <v>1</v>
      </c>
      <c r="L386" s="7">
        <v>2</v>
      </c>
      <c r="M386" s="7">
        <f>LEN(TEXT(Table1[[#This Row],[WEATHER]],"0"))</f>
        <v>1</v>
      </c>
      <c r="N386" s="36">
        <v>0.18</v>
      </c>
      <c r="O386" s="37">
        <f>VLOOKUP(Table1[[#This Row],[INSTANT]],[1]dataset_2!$A:$G,2,FALSE)</f>
        <v>0.13639999999999999</v>
      </c>
      <c r="P386" s="37">
        <f>VLOOKUP(Table1[[#This Row],[INSTANT]],[1]dataset_2!$A:$G,3,0)</f>
        <v>0.86</v>
      </c>
      <c r="Q386" s="37">
        <f>VLOOKUP(Table1[[#This Row],[INSTANT]],[1]dataset_2!$A:$D,4,FALSE)</f>
        <v>0.28360000000000002</v>
      </c>
      <c r="R386" s="37">
        <f>VLOOKUP(Table1[[#This Row],[INSTANT]],[1]dataset_2!$A:$G,5,0)</f>
        <v>1</v>
      </c>
      <c r="S386" s="38">
        <f>VLOOKUP(Table1[[#This Row],[INSTANT]],[1]dataset_2!$A:$G,6,0)</f>
        <v>3</v>
      </c>
      <c r="T386" s="38">
        <f>VLOOKUP(Table1[[#This Row],[INSTANT]],[1]dataset_2!$A:$G,7,0)</f>
        <v>4</v>
      </c>
    </row>
    <row r="387" spans="1:20" ht="13" x14ac:dyDescent="0.15">
      <c r="A387" s="35">
        <v>386</v>
      </c>
      <c r="B387" s="27">
        <v>40560</v>
      </c>
      <c r="C387" s="8" t="str">
        <f t="shared" si="12"/>
        <v>2011</v>
      </c>
      <c r="D387" s="8" t="str">
        <f t="shared" si="13"/>
        <v>17</v>
      </c>
      <c r="E387" s="7">
        <v>1</v>
      </c>
      <c r="F387" s="7">
        <v>0</v>
      </c>
      <c r="G387" s="7">
        <v>1</v>
      </c>
      <c r="H387" s="7">
        <v>13</v>
      </c>
      <c r="I387" s="7" t="b">
        <v>1</v>
      </c>
      <c r="J387" s="22">
        <f>--Table1[[#This Row],[HOLIDAY]]</f>
        <v>1</v>
      </c>
      <c r="K387" s="9">
        <v>1</v>
      </c>
      <c r="L387" s="7">
        <v>2</v>
      </c>
      <c r="M387" s="7">
        <f>LEN(TEXT(Table1[[#This Row],[WEATHER]],"0"))</f>
        <v>1</v>
      </c>
      <c r="N387" s="36">
        <v>0.18</v>
      </c>
      <c r="O387" s="37">
        <f>VLOOKUP(Table1[[#This Row],[INSTANT]],[1]dataset_2!$A:$G,2,FALSE)</f>
        <v>0.18179999999999999</v>
      </c>
      <c r="P387" s="37">
        <f>VLOOKUP(Table1[[#This Row],[INSTANT]],[1]dataset_2!$A:$G,3,0)</f>
        <v>0.86</v>
      </c>
      <c r="Q387" s="37">
        <f>VLOOKUP(Table1[[#This Row],[INSTANT]],[1]dataset_2!$A:$D,4,FALSE)</f>
        <v>0.32840000000000003</v>
      </c>
      <c r="R387" s="37">
        <f>VLOOKUP(Table1[[#This Row],[INSTANT]],[1]dataset_2!$A:$G,5,0)</f>
        <v>0</v>
      </c>
      <c r="S387" s="38">
        <f>VLOOKUP(Table1[[#This Row],[INSTANT]],[1]dataset_2!$A:$G,6,0)</f>
        <v>3</v>
      </c>
      <c r="T387" s="38">
        <f>VLOOKUP(Table1[[#This Row],[INSTANT]],[1]dataset_2!$A:$G,7,0)</f>
        <v>3</v>
      </c>
    </row>
    <row r="388" spans="1:20" ht="13" x14ac:dyDescent="0.15">
      <c r="A388" s="35">
        <v>387</v>
      </c>
      <c r="B388" s="27">
        <v>40560</v>
      </c>
      <c r="C388" s="8" t="str">
        <f t="shared" si="12"/>
        <v>2011</v>
      </c>
      <c r="D388" s="8" t="str">
        <f t="shared" si="13"/>
        <v>17</v>
      </c>
      <c r="E388" s="7">
        <v>1</v>
      </c>
      <c r="F388" s="7">
        <v>0</v>
      </c>
      <c r="G388" s="7">
        <v>1</v>
      </c>
      <c r="H388" s="7">
        <v>14</v>
      </c>
      <c r="I388" s="7" t="b">
        <v>1</v>
      </c>
      <c r="J388" s="22">
        <f>--Table1[[#This Row],[HOLIDAY]]</f>
        <v>1</v>
      </c>
      <c r="K388" s="9">
        <v>1</v>
      </c>
      <c r="L388" s="7">
        <v>2</v>
      </c>
      <c r="M388" s="7">
        <f>LEN(TEXT(Table1[[#This Row],[WEATHER]],"0"))</f>
        <v>1</v>
      </c>
      <c r="N388" s="36">
        <v>0.18</v>
      </c>
      <c r="O388" s="37">
        <f>VLOOKUP(Table1[[#This Row],[INSTANT]],[1]dataset_2!$A:$G,2,FALSE)</f>
        <v>0.19700000000000001</v>
      </c>
      <c r="P388" s="37">
        <f>VLOOKUP(Table1[[#This Row],[INSTANT]],[1]dataset_2!$A:$G,3,0)</f>
        <v>0.86</v>
      </c>
      <c r="Q388" s="37">
        <f>VLOOKUP(Table1[[#This Row],[INSTANT]],[1]dataset_2!$A:$D,4,FALSE)</f>
        <v>0.22389999999999999</v>
      </c>
      <c r="R388" s="37">
        <f>VLOOKUP(Table1[[#This Row],[INSTANT]],[1]dataset_2!$A:$G,5,0)</f>
        <v>0</v>
      </c>
      <c r="S388" s="38">
        <f>VLOOKUP(Table1[[#This Row],[INSTANT]],[1]dataset_2!$A:$G,6,0)</f>
        <v>22</v>
      </c>
      <c r="T388" s="38">
        <f>VLOOKUP(Table1[[#This Row],[INSTANT]],[1]dataset_2!$A:$G,7,0)</f>
        <v>22</v>
      </c>
    </row>
    <row r="389" spans="1:20" ht="13" x14ac:dyDescent="0.15">
      <c r="A389" s="35">
        <v>388</v>
      </c>
      <c r="B389" s="27">
        <v>40560</v>
      </c>
      <c r="C389" s="8" t="str">
        <f t="shared" si="12"/>
        <v>2011</v>
      </c>
      <c r="D389" s="8" t="str">
        <f t="shared" si="13"/>
        <v>17</v>
      </c>
      <c r="E389" s="7">
        <v>1</v>
      </c>
      <c r="F389" s="7">
        <v>0</v>
      </c>
      <c r="G389" s="7">
        <v>1</v>
      </c>
      <c r="H389" s="7">
        <v>15</v>
      </c>
      <c r="I389" s="7" t="b">
        <v>1</v>
      </c>
      <c r="J389" s="22">
        <f>--Table1[[#This Row],[HOLIDAY]]</f>
        <v>1</v>
      </c>
      <c r="K389" s="9">
        <v>1</v>
      </c>
      <c r="L389" s="7">
        <v>2</v>
      </c>
      <c r="M389" s="7">
        <f>LEN(TEXT(Table1[[#This Row],[WEATHER]],"0"))</f>
        <v>1</v>
      </c>
      <c r="N389" s="36">
        <v>0.2</v>
      </c>
      <c r="O389" s="37">
        <f>VLOOKUP(Table1[[#This Row],[INSTANT]],[1]dataset_2!$A:$G,2,FALSE)</f>
        <v>0.2273</v>
      </c>
      <c r="P389" s="37">
        <f>VLOOKUP(Table1[[#This Row],[INSTANT]],[1]dataset_2!$A:$G,3,0)</f>
        <v>0.8</v>
      </c>
      <c r="Q389" s="37">
        <f>VLOOKUP(Table1[[#This Row],[INSTANT]],[1]dataset_2!$A:$D,4,FALSE)</f>
        <v>0.16420000000000001</v>
      </c>
      <c r="R389" s="37">
        <f>VLOOKUP(Table1[[#This Row],[INSTANT]],[1]dataset_2!$A:$G,5,0)</f>
        <v>2</v>
      </c>
      <c r="S389" s="38">
        <f>VLOOKUP(Table1[[#This Row],[INSTANT]],[1]dataset_2!$A:$G,6,0)</f>
        <v>26</v>
      </c>
      <c r="T389" s="38">
        <f>VLOOKUP(Table1[[#This Row],[INSTANT]],[1]dataset_2!$A:$G,7,0)</f>
        <v>28</v>
      </c>
    </row>
    <row r="390" spans="1:20" ht="13" x14ac:dyDescent="0.15">
      <c r="A390" s="35">
        <v>389</v>
      </c>
      <c r="B390" s="27">
        <v>40560</v>
      </c>
      <c r="C390" s="8" t="str">
        <f t="shared" si="12"/>
        <v>2011</v>
      </c>
      <c r="D390" s="8" t="str">
        <f t="shared" si="13"/>
        <v>17</v>
      </c>
      <c r="E390" s="7">
        <v>1</v>
      </c>
      <c r="F390" s="7">
        <v>0</v>
      </c>
      <c r="G390" s="7">
        <v>1</v>
      </c>
      <c r="H390" s="7">
        <v>16</v>
      </c>
      <c r="I390" s="7" t="b">
        <v>1</v>
      </c>
      <c r="J390" s="22">
        <f>--Table1[[#This Row],[HOLIDAY]]</f>
        <v>1</v>
      </c>
      <c r="K390" s="9">
        <v>1</v>
      </c>
      <c r="L390" s="7">
        <v>2</v>
      </c>
      <c r="M390" s="7">
        <f>LEN(TEXT(Table1[[#This Row],[WEATHER]],"0"))</f>
        <v>1</v>
      </c>
      <c r="N390" s="36">
        <v>0.2</v>
      </c>
      <c r="O390" s="37">
        <f>VLOOKUP(Table1[[#This Row],[INSTANT]],[1]dataset_2!$A:$G,2,FALSE)</f>
        <v>0.2273</v>
      </c>
      <c r="P390" s="37">
        <f>VLOOKUP(Table1[[#This Row],[INSTANT]],[1]dataset_2!$A:$G,3,0)</f>
        <v>0.87</v>
      </c>
      <c r="Q390" s="37">
        <f>VLOOKUP(Table1[[#This Row],[INSTANT]],[1]dataset_2!$A:$D,4,FALSE)</f>
        <v>0.16420000000000001</v>
      </c>
      <c r="R390" s="37">
        <f>VLOOKUP(Table1[[#This Row],[INSTANT]],[1]dataset_2!$A:$G,5,0)</f>
        <v>3</v>
      </c>
      <c r="S390" s="38">
        <f>VLOOKUP(Table1[[#This Row],[INSTANT]],[1]dataset_2!$A:$G,6,0)</f>
        <v>32</v>
      </c>
      <c r="T390" s="38">
        <f>VLOOKUP(Table1[[#This Row],[INSTANT]],[1]dataset_2!$A:$G,7,0)</f>
        <v>35</v>
      </c>
    </row>
    <row r="391" spans="1:20" ht="13" x14ac:dyDescent="0.15">
      <c r="A391" s="35">
        <v>390</v>
      </c>
      <c r="B391" s="27">
        <v>40560</v>
      </c>
      <c r="C391" s="8" t="str">
        <f t="shared" si="12"/>
        <v>2011</v>
      </c>
      <c r="D391" s="8" t="str">
        <f t="shared" si="13"/>
        <v>17</v>
      </c>
      <c r="E391" s="7">
        <v>1</v>
      </c>
      <c r="F391" s="7">
        <v>0</v>
      </c>
      <c r="G391" s="7">
        <v>1</v>
      </c>
      <c r="H391" s="7">
        <v>17</v>
      </c>
      <c r="I391" s="7" t="b">
        <v>1</v>
      </c>
      <c r="J391" s="22">
        <f>--Table1[[#This Row],[HOLIDAY]]</f>
        <v>1</v>
      </c>
      <c r="K391" s="9">
        <v>1</v>
      </c>
      <c r="L391" s="7">
        <v>1</v>
      </c>
      <c r="M391" s="7">
        <f>LEN(TEXT(Table1[[#This Row],[WEATHER]],"0"))</f>
        <v>1</v>
      </c>
      <c r="N391" s="36">
        <v>0.2</v>
      </c>
      <c r="O391" s="37">
        <f>VLOOKUP(Table1[[#This Row],[INSTANT]],[1]dataset_2!$A:$G,2,FALSE)</f>
        <v>0.2273</v>
      </c>
      <c r="P391" s="37">
        <f>VLOOKUP(Table1[[#This Row],[INSTANT]],[1]dataset_2!$A:$G,3,0)</f>
        <v>0.87</v>
      </c>
      <c r="Q391" s="37">
        <f>VLOOKUP(Table1[[#This Row],[INSTANT]],[1]dataset_2!$A:$D,4,FALSE)</f>
        <v>0.19400000000000001</v>
      </c>
      <c r="R391" s="37">
        <f>VLOOKUP(Table1[[#This Row],[INSTANT]],[1]dataset_2!$A:$G,5,0)</f>
        <v>0</v>
      </c>
      <c r="S391" s="38">
        <f>VLOOKUP(Table1[[#This Row],[INSTANT]],[1]dataset_2!$A:$G,6,0)</f>
        <v>61</v>
      </c>
      <c r="T391" s="38">
        <f>VLOOKUP(Table1[[#This Row],[INSTANT]],[1]dataset_2!$A:$G,7,0)</f>
        <v>61</v>
      </c>
    </row>
    <row r="392" spans="1:20" ht="13" x14ac:dyDescent="0.15">
      <c r="A392" s="35">
        <v>391</v>
      </c>
      <c r="B392" s="27">
        <v>40560</v>
      </c>
      <c r="C392" s="8" t="str">
        <f t="shared" si="12"/>
        <v>2011</v>
      </c>
      <c r="D392" s="8" t="str">
        <f t="shared" si="13"/>
        <v>17</v>
      </c>
      <c r="E392" s="7">
        <v>1</v>
      </c>
      <c r="F392" s="7">
        <v>0</v>
      </c>
      <c r="G392" s="7">
        <v>1</v>
      </c>
      <c r="H392" s="7">
        <v>18</v>
      </c>
      <c r="I392" s="7" t="b">
        <v>1</v>
      </c>
      <c r="J392" s="22">
        <f>--Table1[[#This Row],[HOLIDAY]]</f>
        <v>1</v>
      </c>
      <c r="K392" s="9">
        <v>1</v>
      </c>
      <c r="L392" s="7">
        <v>2</v>
      </c>
      <c r="M392" s="7">
        <f>LEN(TEXT(Table1[[#This Row],[WEATHER]],"0"))</f>
        <v>1</v>
      </c>
      <c r="N392" s="36">
        <v>0.18</v>
      </c>
      <c r="O392" s="37">
        <f>VLOOKUP(Table1[[#This Row],[INSTANT]],[1]dataset_2!$A:$G,2,FALSE)</f>
        <v>0.2273</v>
      </c>
      <c r="P392" s="37">
        <f>VLOOKUP(Table1[[#This Row],[INSTANT]],[1]dataset_2!$A:$G,3,0)</f>
        <v>0.82</v>
      </c>
      <c r="Q392" s="37">
        <f>VLOOKUP(Table1[[#This Row],[INSTANT]],[1]dataset_2!$A:$D,4,FALSE)</f>
        <v>0.19400000000000001</v>
      </c>
      <c r="R392" s="37">
        <f>VLOOKUP(Table1[[#This Row],[INSTANT]],[1]dataset_2!$A:$G,5,0)</f>
        <v>1</v>
      </c>
      <c r="S392" s="38">
        <f>VLOOKUP(Table1[[#This Row],[INSTANT]],[1]dataset_2!$A:$G,6,0)</f>
        <v>124</v>
      </c>
      <c r="T392" s="38">
        <f>VLOOKUP(Table1[[#This Row],[INSTANT]],[1]dataset_2!$A:$G,7,0)</f>
        <v>125</v>
      </c>
    </row>
    <row r="393" spans="1:20" ht="13" x14ac:dyDescent="0.15">
      <c r="A393" s="35">
        <v>392</v>
      </c>
      <c r="B393" s="27">
        <v>40560</v>
      </c>
      <c r="C393" s="8" t="str">
        <f t="shared" si="12"/>
        <v>2011</v>
      </c>
      <c r="D393" s="8" t="str">
        <f t="shared" si="13"/>
        <v>17</v>
      </c>
      <c r="E393" s="7">
        <v>1</v>
      </c>
      <c r="F393" s="7">
        <v>0</v>
      </c>
      <c r="G393" s="7">
        <v>1</v>
      </c>
      <c r="H393" s="7">
        <v>19</v>
      </c>
      <c r="I393" s="7" t="b">
        <v>1</v>
      </c>
      <c r="J393" s="22">
        <f>--Table1[[#This Row],[HOLIDAY]]</f>
        <v>1</v>
      </c>
      <c r="K393" s="9">
        <v>1</v>
      </c>
      <c r="L393" s="7">
        <v>3</v>
      </c>
      <c r="M393" s="7">
        <f>LEN(TEXT(Table1[[#This Row],[WEATHER]],"0"))</f>
        <v>1</v>
      </c>
      <c r="N393" s="36">
        <v>0.18</v>
      </c>
      <c r="O393" s="37">
        <f>VLOOKUP(Table1[[#This Row],[INSTANT]],[1]dataset_2!$A:$G,2,FALSE)</f>
        <v>0.2273</v>
      </c>
      <c r="P393" s="37">
        <f>VLOOKUP(Table1[[#This Row],[INSTANT]],[1]dataset_2!$A:$G,3,0)</f>
        <v>0.8</v>
      </c>
      <c r="Q393" s="37">
        <f>VLOOKUP(Table1[[#This Row],[INSTANT]],[1]dataset_2!$A:$D,4,FALSE)</f>
        <v>0.16420000000000001</v>
      </c>
      <c r="R393" s="37">
        <f>VLOOKUP(Table1[[#This Row],[INSTANT]],[1]dataset_2!$A:$G,5,0)</f>
        <v>1</v>
      </c>
      <c r="S393" s="38">
        <f>VLOOKUP(Table1[[#This Row],[INSTANT]],[1]dataset_2!$A:$G,6,0)</f>
        <v>132</v>
      </c>
      <c r="T393" s="38">
        <f>VLOOKUP(Table1[[#This Row],[INSTANT]],[1]dataset_2!$A:$G,7,0)</f>
        <v>133</v>
      </c>
    </row>
    <row r="394" spans="1:20" ht="13" x14ac:dyDescent="0.15">
      <c r="A394" s="35">
        <v>393</v>
      </c>
      <c r="B394" s="27">
        <v>40560</v>
      </c>
      <c r="C394" s="8" t="str">
        <f t="shared" si="12"/>
        <v>2011</v>
      </c>
      <c r="D394" s="8" t="str">
        <f t="shared" si="13"/>
        <v>17</v>
      </c>
      <c r="E394" s="7">
        <v>1</v>
      </c>
      <c r="F394" s="7">
        <v>0</v>
      </c>
      <c r="G394" s="7">
        <v>1</v>
      </c>
      <c r="H394" s="7">
        <v>20</v>
      </c>
      <c r="I394" s="7" t="b">
        <v>1</v>
      </c>
      <c r="J394" s="22">
        <f>--Table1[[#This Row],[HOLIDAY]]</f>
        <v>1</v>
      </c>
      <c r="K394" s="9">
        <v>1</v>
      </c>
      <c r="L394" s="7">
        <v>3</v>
      </c>
      <c r="M394" s="7">
        <f>LEN(TEXT(Table1[[#This Row],[WEATHER]],"0"))</f>
        <v>1</v>
      </c>
      <c r="N394" s="36">
        <v>0.16</v>
      </c>
      <c r="O394" s="37">
        <f>VLOOKUP(Table1[[#This Row],[INSTANT]],[1]dataset_2!$A:$G,2,FALSE)</f>
        <v>0.2273</v>
      </c>
      <c r="P394" s="37">
        <f>VLOOKUP(Table1[[#This Row],[INSTANT]],[1]dataset_2!$A:$G,3,0)</f>
        <v>0.8</v>
      </c>
      <c r="Q394" s="37">
        <f>VLOOKUP(Table1[[#This Row],[INSTANT]],[1]dataset_2!$A:$D,4,FALSE)</f>
        <v>0.1343</v>
      </c>
      <c r="R394" s="37">
        <f>VLOOKUP(Table1[[#This Row],[INSTANT]],[1]dataset_2!$A:$G,5,0)</f>
        <v>1</v>
      </c>
      <c r="S394" s="38">
        <f>VLOOKUP(Table1[[#This Row],[INSTANT]],[1]dataset_2!$A:$G,6,0)</f>
        <v>98</v>
      </c>
      <c r="T394" s="38">
        <f>VLOOKUP(Table1[[#This Row],[INSTANT]],[1]dataset_2!$A:$G,7,0)</f>
        <v>99</v>
      </c>
    </row>
    <row r="395" spans="1:20" ht="13" x14ac:dyDescent="0.15">
      <c r="A395" s="35">
        <v>394</v>
      </c>
      <c r="B395" s="27">
        <v>40560</v>
      </c>
      <c r="C395" s="8" t="str">
        <f t="shared" si="12"/>
        <v>2011</v>
      </c>
      <c r="D395" s="8" t="str">
        <f t="shared" si="13"/>
        <v>17</v>
      </c>
      <c r="E395" s="7">
        <v>1</v>
      </c>
      <c r="F395" s="7">
        <v>0</v>
      </c>
      <c r="G395" s="7">
        <v>1</v>
      </c>
      <c r="H395" s="7">
        <v>21</v>
      </c>
      <c r="I395" s="7" t="b">
        <v>1</v>
      </c>
      <c r="J395" s="22">
        <f>--Table1[[#This Row],[HOLIDAY]]</f>
        <v>1</v>
      </c>
      <c r="K395" s="9">
        <v>1</v>
      </c>
      <c r="L395" s="7">
        <v>3</v>
      </c>
      <c r="M395" s="7">
        <f>LEN(TEXT(Table1[[#This Row],[WEATHER]],"0"))</f>
        <v>1</v>
      </c>
      <c r="N395" s="36">
        <v>0.16</v>
      </c>
      <c r="O395" s="37">
        <f>VLOOKUP(Table1[[#This Row],[INSTANT]],[1]dataset_2!$A:$G,2,FALSE)</f>
        <v>0.2727</v>
      </c>
      <c r="P395" s="37">
        <f>VLOOKUP(Table1[[#This Row],[INSTANT]],[1]dataset_2!$A:$G,3,0)</f>
        <v>0.87</v>
      </c>
      <c r="Q395" s="37">
        <f>VLOOKUP(Table1[[#This Row],[INSTANT]],[1]dataset_2!$A:$D,4,FALSE)</f>
        <v>0</v>
      </c>
      <c r="R395" s="37">
        <f>VLOOKUP(Table1[[#This Row],[INSTANT]],[1]dataset_2!$A:$G,5,0)</f>
        <v>0</v>
      </c>
      <c r="S395" s="38">
        <f>VLOOKUP(Table1[[#This Row],[INSTANT]],[1]dataset_2!$A:$G,6,0)</f>
        <v>83</v>
      </c>
      <c r="T395" s="38">
        <f>VLOOKUP(Table1[[#This Row],[INSTANT]],[1]dataset_2!$A:$G,7,0)</f>
        <v>83</v>
      </c>
    </row>
    <row r="396" spans="1:20" ht="13" x14ac:dyDescent="0.15">
      <c r="A396" s="35">
        <v>395</v>
      </c>
      <c r="B396" s="27">
        <v>40560</v>
      </c>
      <c r="C396" s="8" t="str">
        <f t="shared" si="12"/>
        <v>2011</v>
      </c>
      <c r="D396" s="8" t="str">
        <f t="shared" si="13"/>
        <v>17</v>
      </c>
      <c r="E396" s="7">
        <v>1</v>
      </c>
      <c r="F396" s="7">
        <v>0</v>
      </c>
      <c r="G396" s="7">
        <v>1</v>
      </c>
      <c r="H396" s="7">
        <v>22</v>
      </c>
      <c r="I396" s="7" t="b">
        <v>1</v>
      </c>
      <c r="J396" s="22">
        <f>--Table1[[#This Row],[HOLIDAY]]</f>
        <v>1</v>
      </c>
      <c r="K396" s="9">
        <v>1</v>
      </c>
      <c r="L396" s="7">
        <v>3</v>
      </c>
      <c r="M396" s="7">
        <f>LEN(TEXT(Table1[[#This Row],[WEATHER]],"0"))</f>
        <v>1</v>
      </c>
      <c r="N396" s="36">
        <v>0.14000000000000001</v>
      </c>
      <c r="O396" s="37">
        <f>VLOOKUP(Table1[[#This Row],[INSTANT]],[1]dataset_2!$A:$G,2,FALSE)</f>
        <v>0.2424</v>
      </c>
      <c r="P396" s="37">
        <f>VLOOKUP(Table1[[#This Row],[INSTANT]],[1]dataset_2!$A:$G,3,0)</f>
        <v>0.93</v>
      </c>
      <c r="Q396" s="37">
        <f>VLOOKUP(Table1[[#This Row],[INSTANT]],[1]dataset_2!$A:$D,4,FALSE)</f>
        <v>0.1045</v>
      </c>
      <c r="R396" s="37">
        <f>VLOOKUP(Table1[[#This Row],[INSTANT]],[1]dataset_2!$A:$G,5,0)</f>
        <v>0</v>
      </c>
      <c r="S396" s="38">
        <f>VLOOKUP(Table1[[#This Row],[INSTANT]],[1]dataset_2!$A:$G,6,0)</f>
        <v>41</v>
      </c>
      <c r="T396" s="38">
        <f>VLOOKUP(Table1[[#This Row],[INSTANT]],[1]dataset_2!$A:$G,7,0)</f>
        <v>41</v>
      </c>
    </row>
    <row r="397" spans="1:20" ht="13" x14ac:dyDescent="0.15">
      <c r="A397" s="35">
        <v>396</v>
      </c>
      <c r="B397" s="27">
        <v>40560</v>
      </c>
      <c r="C397" s="8" t="str">
        <f t="shared" si="12"/>
        <v>2011</v>
      </c>
      <c r="D397" s="8" t="str">
        <f t="shared" si="13"/>
        <v>17</v>
      </c>
      <c r="E397" s="7">
        <v>1</v>
      </c>
      <c r="F397" s="7">
        <v>0</v>
      </c>
      <c r="G397" s="7">
        <v>1</v>
      </c>
      <c r="H397" s="7">
        <v>23</v>
      </c>
      <c r="I397" s="7" t="b">
        <v>1</v>
      </c>
      <c r="J397" s="22">
        <f>--Table1[[#This Row],[HOLIDAY]]</f>
        <v>1</v>
      </c>
      <c r="K397" s="9">
        <v>1</v>
      </c>
      <c r="L397" s="7">
        <v>3</v>
      </c>
      <c r="M397" s="7">
        <f>LEN(TEXT(Table1[[#This Row],[WEATHER]],"0"))</f>
        <v>1</v>
      </c>
      <c r="N397" s="36">
        <v>0.16</v>
      </c>
      <c r="O397" s="37">
        <f>VLOOKUP(Table1[[#This Row],[INSTANT]],[1]dataset_2!$A:$G,2,FALSE)</f>
        <v>0.2576</v>
      </c>
      <c r="P397" s="37">
        <f>VLOOKUP(Table1[[#This Row],[INSTANT]],[1]dataset_2!$A:$G,3,0)</f>
        <v>0.93</v>
      </c>
      <c r="Q397" s="37">
        <f>VLOOKUP(Table1[[#This Row],[INSTANT]],[1]dataset_2!$A:$D,4,FALSE)</f>
        <v>8.9599999999999999E-2</v>
      </c>
      <c r="R397" s="37">
        <f>VLOOKUP(Table1[[#This Row],[INSTANT]],[1]dataset_2!$A:$G,5,0)</f>
        <v>0</v>
      </c>
      <c r="S397" s="38">
        <f>VLOOKUP(Table1[[#This Row],[INSTANT]],[1]dataset_2!$A:$G,6,0)</f>
        <v>33</v>
      </c>
      <c r="T397" s="38">
        <f>VLOOKUP(Table1[[#This Row],[INSTANT]],[1]dataset_2!$A:$G,7,0)</f>
        <v>33</v>
      </c>
    </row>
    <row r="398" spans="1:20" ht="13" x14ac:dyDescent="0.15">
      <c r="A398" s="35">
        <v>397</v>
      </c>
      <c r="B398" s="27">
        <v>40561</v>
      </c>
      <c r="C398" s="8" t="str">
        <f t="shared" si="12"/>
        <v>2011</v>
      </c>
      <c r="D398" s="8" t="str">
        <f t="shared" si="13"/>
        <v>18</v>
      </c>
      <c r="E398" s="7">
        <v>1</v>
      </c>
      <c r="F398" s="7">
        <v>0</v>
      </c>
      <c r="G398" s="7">
        <v>1</v>
      </c>
      <c r="H398" s="7">
        <v>12</v>
      </c>
      <c r="I398" s="7" t="b">
        <v>0</v>
      </c>
      <c r="J398" s="22">
        <f>--Table1[[#This Row],[HOLIDAY]]</f>
        <v>0</v>
      </c>
      <c r="K398" s="9">
        <v>2</v>
      </c>
      <c r="L398" s="7">
        <v>2</v>
      </c>
      <c r="M398" s="7">
        <f>LEN(TEXT(Table1[[#This Row],[WEATHER]],"0"))</f>
        <v>1</v>
      </c>
      <c r="N398" s="36">
        <v>0.2</v>
      </c>
      <c r="O398" s="37">
        <f>VLOOKUP(Table1[[#This Row],[INSTANT]],[1]dataset_2!$A:$G,2,FALSE)</f>
        <v>0.2727</v>
      </c>
      <c r="P398" s="37">
        <f>VLOOKUP(Table1[[#This Row],[INSTANT]],[1]dataset_2!$A:$G,3,0)</f>
        <v>0.93</v>
      </c>
      <c r="Q398" s="37">
        <f>VLOOKUP(Table1[[#This Row],[INSTANT]],[1]dataset_2!$A:$D,4,FALSE)</f>
        <v>0</v>
      </c>
      <c r="R398" s="37">
        <f>VLOOKUP(Table1[[#This Row],[INSTANT]],[1]dataset_2!$A:$G,5,0)</f>
        <v>1</v>
      </c>
      <c r="S398" s="38">
        <f>VLOOKUP(Table1[[#This Row],[INSTANT]],[1]dataset_2!$A:$G,6,0)</f>
        <v>19</v>
      </c>
      <c r="T398" s="38">
        <f>VLOOKUP(Table1[[#This Row],[INSTANT]],[1]dataset_2!$A:$G,7,0)</f>
        <v>20</v>
      </c>
    </row>
    <row r="399" spans="1:20" ht="13" x14ac:dyDescent="0.15">
      <c r="A399" s="35">
        <v>398</v>
      </c>
      <c r="B399" s="27">
        <v>40561</v>
      </c>
      <c r="C399" s="8" t="str">
        <f t="shared" si="12"/>
        <v>2011</v>
      </c>
      <c r="D399" s="8" t="str">
        <f t="shared" si="13"/>
        <v>18</v>
      </c>
      <c r="E399" s="7">
        <v>1</v>
      </c>
      <c r="F399" s="7">
        <v>0</v>
      </c>
      <c r="G399" s="7">
        <v>1</v>
      </c>
      <c r="H399" s="7">
        <v>13</v>
      </c>
      <c r="I399" s="7" t="b">
        <v>0</v>
      </c>
      <c r="J399" s="22">
        <f>--Table1[[#This Row],[HOLIDAY]]</f>
        <v>0</v>
      </c>
      <c r="K399" s="9">
        <v>2</v>
      </c>
      <c r="L399" s="7">
        <v>2</v>
      </c>
      <c r="M399" s="7">
        <f>LEN(TEXT(Table1[[#This Row],[WEATHER]],"0"))</f>
        <v>1</v>
      </c>
      <c r="N399" s="36">
        <v>0.2</v>
      </c>
      <c r="O399" s="37">
        <f>VLOOKUP(Table1[[#This Row],[INSTANT]],[1]dataset_2!$A:$G,2,FALSE)</f>
        <v>0.2727</v>
      </c>
      <c r="P399" s="37">
        <f>VLOOKUP(Table1[[#This Row],[INSTANT]],[1]dataset_2!$A:$G,3,0)</f>
        <v>0.93</v>
      </c>
      <c r="Q399" s="37">
        <f>VLOOKUP(Table1[[#This Row],[INSTANT]],[1]dataset_2!$A:$D,4,FALSE)</f>
        <v>0</v>
      </c>
      <c r="R399" s="37">
        <f>VLOOKUP(Table1[[#This Row],[INSTANT]],[1]dataset_2!$A:$G,5,0)</f>
        <v>0</v>
      </c>
      <c r="S399" s="38">
        <f>VLOOKUP(Table1[[#This Row],[INSTANT]],[1]dataset_2!$A:$G,6,0)</f>
        <v>3</v>
      </c>
      <c r="T399" s="38">
        <f>VLOOKUP(Table1[[#This Row],[INSTANT]],[1]dataset_2!$A:$G,7,0)</f>
        <v>3</v>
      </c>
    </row>
    <row r="400" spans="1:20" ht="13" x14ac:dyDescent="0.15">
      <c r="A400" s="35">
        <v>399</v>
      </c>
      <c r="B400" s="27">
        <v>40561</v>
      </c>
      <c r="C400" s="8" t="str">
        <f t="shared" si="12"/>
        <v>2011</v>
      </c>
      <c r="D400" s="8" t="str">
        <f t="shared" si="13"/>
        <v>18</v>
      </c>
      <c r="E400" s="7">
        <v>1</v>
      </c>
      <c r="F400" s="7">
        <v>0</v>
      </c>
      <c r="G400" s="7">
        <v>1</v>
      </c>
      <c r="H400" s="7">
        <v>14</v>
      </c>
      <c r="I400" s="7" t="b">
        <v>0</v>
      </c>
      <c r="J400" s="22">
        <f>--Table1[[#This Row],[HOLIDAY]]</f>
        <v>0</v>
      </c>
      <c r="K400" s="9">
        <v>2</v>
      </c>
      <c r="L400" s="7">
        <v>2</v>
      </c>
      <c r="M400" s="7">
        <f>LEN(TEXT(Table1[[#This Row],[WEATHER]],"0"))</f>
        <v>1</v>
      </c>
      <c r="N400" s="36">
        <v>0.22</v>
      </c>
      <c r="O400" s="37">
        <f>VLOOKUP(Table1[[#This Row],[INSTANT]],[1]dataset_2!$A:$G,2,FALSE)</f>
        <v>0.2273</v>
      </c>
      <c r="P400" s="37">
        <f>VLOOKUP(Table1[[#This Row],[INSTANT]],[1]dataset_2!$A:$G,3,0)</f>
        <v>0.93</v>
      </c>
      <c r="Q400" s="37">
        <f>VLOOKUP(Table1[[#This Row],[INSTANT]],[1]dataset_2!$A:$D,4,FALSE)</f>
        <v>0.1343</v>
      </c>
      <c r="R400" s="37">
        <f>VLOOKUP(Table1[[#This Row],[INSTANT]],[1]dataset_2!$A:$G,5,0)</f>
        <v>1</v>
      </c>
      <c r="S400" s="38">
        <f>VLOOKUP(Table1[[#This Row],[INSTANT]],[1]dataset_2!$A:$G,6,0)</f>
        <v>6</v>
      </c>
      <c r="T400" s="38">
        <f>VLOOKUP(Table1[[#This Row],[INSTANT]],[1]dataset_2!$A:$G,7,0)</f>
        <v>7</v>
      </c>
    </row>
    <row r="401" spans="1:20" ht="13" x14ac:dyDescent="0.15">
      <c r="A401" s="35">
        <v>400</v>
      </c>
      <c r="B401" s="27">
        <v>40561</v>
      </c>
      <c r="C401" s="8" t="str">
        <f t="shared" si="12"/>
        <v>2011</v>
      </c>
      <c r="D401" s="8" t="str">
        <f t="shared" si="13"/>
        <v>18</v>
      </c>
      <c r="E401" s="7">
        <v>1</v>
      </c>
      <c r="F401" s="7">
        <v>0</v>
      </c>
      <c r="G401" s="7">
        <v>1</v>
      </c>
      <c r="H401" s="7">
        <v>15</v>
      </c>
      <c r="I401" s="7" t="b">
        <v>0</v>
      </c>
      <c r="J401" s="22">
        <f>--Table1[[#This Row],[HOLIDAY]]</f>
        <v>0</v>
      </c>
      <c r="K401" s="9">
        <v>2</v>
      </c>
      <c r="L401" s="7">
        <v>2</v>
      </c>
      <c r="M401" s="7">
        <f>LEN(TEXT(Table1[[#This Row],[WEATHER]],"0"))</f>
        <v>1</v>
      </c>
      <c r="N401" s="36">
        <v>0.22</v>
      </c>
      <c r="O401" s="37">
        <f>VLOOKUP(Table1[[#This Row],[INSTANT]],[1]dataset_2!$A:$G,2,FALSE)</f>
        <v>0.2273</v>
      </c>
      <c r="P401" s="37">
        <f>VLOOKUP(Table1[[#This Row],[INSTANT]],[1]dataset_2!$A:$G,3,0)</f>
        <v>0.93</v>
      </c>
      <c r="Q401" s="37">
        <f>VLOOKUP(Table1[[#This Row],[INSTANT]],[1]dataset_2!$A:$D,4,FALSE)</f>
        <v>0.1343</v>
      </c>
      <c r="R401" s="37">
        <f>VLOOKUP(Table1[[#This Row],[INSTANT]],[1]dataset_2!$A:$G,5,0)</f>
        <v>0</v>
      </c>
      <c r="S401" s="38">
        <f>VLOOKUP(Table1[[#This Row],[INSTANT]],[1]dataset_2!$A:$G,6,0)</f>
        <v>3</v>
      </c>
      <c r="T401" s="38">
        <f>VLOOKUP(Table1[[#This Row],[INSTANT]],[1]dataset_2!$A:$G,7,0)</f>
        <v>3</v>
      </c>
    </row>
    <row r="402" spans="1:20" ht="13" x14ac:dyDescent="0.15">
      <c r="A402" s="35">
        <v>401</v>
      </c>
      <c r="B402" s="27">
        <v>40561</v>
      </c>
      <c r="C402" s="8" t="str">
        <f t="shared" si="12"/>
        <v>2011</v>
      </c>
      <c r="D402" s="8" t="str">
        <f t="shared" si="13"/>
        <v>18</v>
      </c>
      <c r="E402" s="7">
        <v>1</v>
      </c>
      <c r="F402" s="7">
        <v>0</v>
      </c>
      <c r="G402" s="7">
        <v>1</v>
      </c>
      <c r="H402" s="7">
        <v>16</v>
      </c>
      <c r="I402" s="7" t="b">
        <v>0</v>
      </c>
      <c r="J402" s="22">
        <f>--Table1[[#This Row],[HOLIDAY]]</f>
        <v>0</v>
      </c>
      <c r="K402" s="9">
        <v>2</v>
      </c>
      <c r="L402" s="7">
        <v>2</v>
      </c>
      <c r="M402" s="7">
        <f>LEN(TEXT(Table1[[#This Row],[WEATHER]],"0"))</f>
        <v>1</v>
      </c>
      <c r="N402" s="36">
        <v>0.22</v>
      </c>
      <c r="O402" s="37">
        <f>VLOOKUP(Table1[[#This Row],[INSTANT]],[1]dataset_2!$A:$G,2,FALSE)</f>
        <v>0.2273</v>
      </c>
      <c r="P402" s="37">
        <f>VLOOKUP(Table1[[#This Row],[INSTANT]],[1]dataset_2!$A:$G,3,0)</f>
        <v>0.93</v>
      </c>
      <c r="Q402" s="37">
        <f>VLOOKUP(Table1[[#This Row],[INSTANT]],[1]dataset_2!$A:$D,4,FALSE)</f>
        <v>0.1343</v>
      </c>
      <c r="R402" s="37">
        <f>VLOOKUP(Table1[[#This Row],[INSTANT]],[1]dataset_2!$A:$G,5,0)</f>
        <v>1</v>
      </c>
      <c r="S402" s="38">
        <f>VLOOKUP(Table1[[#This Row],[INSTANT]],[1]dataset_2!$A:$G,6,0)</f>
        <v>1</v>
      </c>
      <c r="T402" s="38">
        <f>VLOOKUP(Table1[[#This Row],[INSTANT]],[1]dataset_2!$A:$G,7,0)</f>
        <v>2</v>
      </c>
    </row>
    <row r="403" spans="1:20" ht="13" x14ac:dyDescent="0.15">
      <c r="A403" s="35">
        <v>402</v>
      </c>
      <c r="B403" s="27">
        <v>40561</v>
      </c>
      <c r="C403" s="8" t="str">
        <f t="shared" si="12"/>
        <v>2011</v>
      </c>
      <c r="D403" s="8" t="str">
        <f t="shared" si="13"/>
        <v>18</v>
      </c>
      <c r="E403" s="7">
        <v>1</v>
      </c>
      <c r="F403" s="7">
        <v>0</v>
      </c>
      <c r="G403" s="7">
        <v>1</v>
      </c>
      <c r="H403" s="7">
        <v>17</v>
      </c>
      <c r="I403" s="7" t="b">
        <v>0</v>
      </c>
      <c r="J403" s="22">
        <f>--Table1[[#This Row],[HOLIDAY]]</f>
        <v>0</v>
      </c>
      <c r="K403" s="9">
        <v>2</v>
      </c>
      <c r="L403" s="7">
        <v>2</v>
      </c>
      <c r="M403" s="7">
        <f>LEN(TEXT(Table1[[#This Row],[WEATHER]],"0"))</f>
        <v>1</v>
      </c>
      <c r="N403" s="36">
        <v>0.22</v>
      </c>
      <c r="O403" s="37">
        <f>VLOOKUP(Table1[[#This Row],[INSTANT]],[1]dataset_2!$A:$G,2,FALSE)</f>
        <v>0.2576</v>
      </c>
      <c r="P403" s="37">
        <f>VLOOKUP(Table1[[#This Row],[INSTANT]],[1]dataset_2!$A:$G,3,0)</f>
        <v>0.93</v>
      </c>
      <c r="Q403" s="37">
        <f>VLOOKUP(Table1[[#This Row],[INSTANT]],[1]dataset_2!$A:$D,4,FALSE)</f>
        <v>8.9599999999999999E-2</v>
      </c>
      <c r="R403" s="37">
        <f>VLOOKUP(Table1[[#This Row],[INSTANT]],[1]dataset_2!$A:$G,5,0)</f>
        <v>0</v>
      </c>
      <c r="S403" s="38">
        <f>VLOOKUP(Table1[[#This Row],[INSTANT]],[1]dataset_2!$A:$G,6,0)</f>
        <v>7</v>
      </c>
      <c r="T403" s="38">
        <f>VLOOKUP(Table1[[#This Row],[INSTANT]],[1]dataset_2!$A:$G,7,0)</f>
        <v>7</v>
      </c>
    </row>
    <row r="404" spans="1:20" ht="13" x14ac:dyDescent="0.15">
      <c r="A404" s="35">
        <v>403</v>
      </c>
      <c r="B404" s="27">
        <v>40561</v>
      </c>
      <c r="C404" s="8" t="str">
        <f t="shared" si="12"/>
        <v>2011</v>
      </c>
      <c r="D404" s="8" t="str">
        <f t="shared" si="13"/>
        <v>18</v>
      </c>
      <c r="E404" s="7">
        <v>1</v>
      </c>
      <c r="F404" s="7">
        <v>0</v>
      </c>
      <c r="G404" s="7">
        <v>1</v>
      </c>
      <c r="H404" s="7">
        <v>18</v>
      </c>
      <c r="I404" s="7" t="b">
        <v>0</v>
      </c>
      <c r="J404" s="22">
        <f>--Table1[[#This Row],[HOLIDAY]]</f>
        <v>0</v>
      </c>
      <c r="K404" s="9">
        <v>2</v>
      </c>
      <c r="L404" s="7">
        <v>2</v>
      </c>
      <c r="M404" s="7">
        <f>LEN(TEXT(Table1[[#This Row],[WEATHER]],"0"))</f>
        <v>1</v>
      </c>
      <c r="N404" s="36">
        <v>0.22</v>
      </c>
      <c r="O404" s="37">
        <f>VLOOKUP(Table1[[#This Row],[INSTANT]],[1]dataset_2!$A:$G,2,FALSE)</f>
        <v>0.2576</v>
      </c>
      <c r="P404" s="37">
        <f>VLOOKUP(Table1[[#This Row],[INSTANT]],[1]dataset_2!$A:$G,3,0)</f>
        <v>0.93</v>
      </c>
      <c r="Q404" s="37">
        <f>VLOOKUP(Table1[[#This Row],[INSTANT]],[1]dataset_2!$A:$D,4,FALSE)</f>
        <v>8.9599999999999999E-2</v>
      </c>
      <c r="R404" s="37">
        <f>VLOOKUP(Table1[[#This Row],[INSTANT]],[1]dataset_2!$A:$G,5,0)</f>
        <v>0</v>
      </c>
      <c r="S404" s="38">
        <f>VLOOKUP(Table1[[#This Row],[INSTANT]],[1]dataset_2!$A:$G,6,0)</f>
        <v>32</v>
      </c>
      <c r="T404" s="38">
        <f>VLOOKUP(Table1[[#This Row],[INSTANT]],[1]dataset_2!$A:$G,7,0)</f>
        <v>32</v>
      </c>
    </row>
    <row r="405" spans="1:20" ht="13" x14ac:dyDescent="0.15">
      <c r="A405" s="35">
        <v>404</v>
      </c>
      <c r="B405" s="27">
        <v>40561</v>
      </c>
      <c r="C405" s="8" t="str">
        <f t="shared" si="12"/>
        <v>2011</v>
      </c>
      <c r="D405" s="8" t="str">
        <f t="shared" si="13"/>
        <v>18</v>
      </c>
      <c r="E405" s="7">
        <v>1</v>
      </c>
      <c r="F405" s="7">
        <v>0</v>
      </c>
      <c r="G405" s="7">
        <v>1</v>
      </c>
      <c r="H405" s="7">
        <v>19</v>
      </c>
      <c r="I405" s="7" t="b">
        <v>0</v>
      </c>
      <c r="J405" s="22">
        <f>--Table1[[#This Row],[HOLIDAY]]</f>
        <v>0</v>
      </c>
      <c r="K405" s="9">
        <v>2</v>
      </c>
      <c r="L405" s="7">
        <v>2</v>
      </c>
      <c r="M405" s="7">
        <f>LEN(TEXT(Table1[[#This Row],[WEATHER]],"0"))</f>
        <v>1</v>
      </c>
      <c r="N405" s="36">
        <v>0.22</v>
      </c>
      <c r="O405" s="37">
        <f>VLOOKUP(Table1[[#This Row],[INSTANT]],[1]dataset_2!$A:$G,2,FALSE)</f>
        <v>0.2576</v>
      </c>
      <c r="P405" s="37">
        <f>VLOOKUP(Table1[[#This Row],[INSTANT]],[1]dataset_2!$A:$G,3,0)</f>
        <v>0.92</v>
      </c>
      <c r="Q405" s="37">
        <f>VLOOKUP(Table1[[#This Row],[INSTANT]],[1]dataset_2!$A:$D,4,FALSE)</f>
        <v>0.1045</v>
      </c>
      <c r="R405" s="37">
        <f>VLOOKUP(Table1[[#This Row],[INSTANT]],[1]dataset_2!$A:$G,5,0)</f>
        <v>1</v>
      </c>
      <c r="S405" s="38">
        <f>VLOOKUP(Table1[[#This Row],[INSTANT]],[1]dataset_2!$A:$G,6,0)</f>
        <v>89</v>
      </c>
      <c r="T405" s="38">
        <f>VLOOKUP(Table1[[#This Row],[INSTANT]],[1]dataset_2!$A:$G,7,0)</f>
        <v>90</v>
      </c>
    </row>
    <row r="406" spans="1:20" ht="13" x14ac:dyDescent="0.15">
      <c r="A406" s="35">
        <v>405</v>
      </c>
      <c r="B406" s="27">
        <v>40561</v>
      </c>
      <c r="C406" s="8" t="str">
        <f t="shared" si="12"/>
        <v>2011</v>
      </c>
      <c r="D406" s="8" t="str">
        <f t="shared" si="13"/>
        <v>18</v>
      </c>
      <c r="E406" s="7">
        <v>1</v>
      </c>
      <c r="F406" s="7">
        <v>0</v>
      </c>
      <c r="G406" s="7">
        <v>1</v>
      </c>
      <c r="H406" s="7">
        <v>20</v>
      </c>
      <c r="I406" s="7" t="b">
        <v>0</v>
      </c>
      <c r="J406" s="22">
        <f>--Table1[[#This Row],[HOLIDAY]]</f>
        <v>0</v>
      </c>
      <c r="K406" s="9">
        <v>2</v>
      </c>
      <c r="L406" s="7">
        <v>2</v>
      </c>
      <c r="M406" s="7">
        <f>LEN(TEXT(Table1[[#This Row],[WEATHER]],"0"))</f>
        <v>1</v>
      </c>
      <c r="N406" s="36">
        <v>0.22</v>
      </c>
      <c r="O406" s="37">
        <f>VLOOKUP(Table1[[#This Row],[INSTANT]],[1]dataset_2!$A:$G,2,FALSE)</f>
        <v>0.2576</v>
      </c>
      <c r="P406" s="37">
        <f>VLOOKUP(Table1[[#This Row],[INSTANT]],[1]dataset_2!$A:$G,3,0)</f>
        <v>0.93</v>
      </c>
      <c r="Q406" s="37">
        <f>VLOOKUP(Table1[[#This Row],[INSTANT]],[1]dataset_2!$A:$D,4,FALSE)</f>
        <v>0.1045</v>
      </c>
      <c r="R406" s="37">
        <f>VLOOKUP(Table1[[#This Row],[INSTANT]],[1]dataset_2!$A:$G,5,0)</f>
        <v>1</v>
      </c>
      <c r="S406" s="38">
        <f>VLOOKUP(Table1[[#This Row],[INSTANT]],[1]dataset_2!$A:$G,6,0)</f>
        <v>196</v>
      </c>
      <c r="T406" s="38">
        <f>VLOOKUP(Table1[[#This Row],[INSTANT]],[1]dataset_2!$A:$G,7,0)</f>
        <v>197</v>
      </c>
    </row>
    <row r="407" spans="1:20" ht="13" x14ac:dyDescent="0.15">
      <c r="A407" s="35">
        <v>406</v>
      </c>
      <c r="B407" s="27">
        <v>40561</v>
      </c>
      <c r="C407" s="8" t="str">
        <f t="shared" si="12"/>
        <v>2011</v>
      </c>
      <c r="D407" s="8" t="str">
        <f t="shared" si="13"/>
        <v>18</v>
      </c>
      <c r="E407" s="7">
        <v>1</v>
      </c>
      <c r="F407" s="7">
        <v>0</v>
      </c>
      <c r="G407" s="7">
        <v>1</v>
      </c>
      <c r="H407" s="7">
        <v>21</v>
      </c>
      <c r="I407" s="7" t="b">
        <v>0</v>
      </c>
      <c r="J407" s="22">
        <f>--Table1[[#This Row],[HOLIDAY]]</f>
        <v>0</v>
      </c>
      <c r="K407" s="9">
        <v>2</v>
      </c>
      <c r="L407" s="7">
        <v>2</v>
      </c>
      <c r="M407" s="7">
        <f>LEN(TEXT(Table1[[#This Row],[WEATHER]],"0"))</f>
        <v>1</v>
      </c>
      <c r="N407" s="36">
        <v>0.22</v>
      </c>
      <c r="O407" s="37">
        <f>VLOOKUP(Table1[[#This Row],[INSTANT]],[1]dataset_2!$A:$G,2,FALSE)</f>
        <v>0.2576</v>
      </c>
      <c r="P407" s="37">
        <f>VLOOKUP(Table1[[#This Row],[INSTANT]],[1]dataset_2!$A:$G,3,0)</f>
        <v>0.93</v>
      </c>
      <c r="Q407" s="37">
        <f>VLOOKUP(Table1[[#This Row],[INSTANT]],[1]dataset_2!$A:$D,4,FALSE)</f>
        <v>0.1045</v>
      </c>
      <c r="R407" s="37">
        <f>VLOOKUP(Table1[[#This Row],[INSTANT]],[1]dataset_2!$A:$G,5,0)</f>
        <v>2</v>
      </c>
      <c r="S407" s="38">
        <f>VLOOKUP(Table1[[#This Row],[INSTANT]],[1]dataset_2!$A:$G,6,0)</f>
        <v>107</v>
      </c>
      <c r="T407" s="38">
        <f>VLOOKUP(Table1[[#This Row],[INSTANT]],[1]dataset_2!$A:$G,7,0)</f>
        <v>109</v>
      </c>
    </row>
    <row r="408" spans="1:20" ht="13" x14ac:dyDescent="0.15">
      <c r="A408" s="35">
        <v>407</v>
      </c>
      <c r="B408" s="27">
        <v>40561</v>
      </c>
      <c r="C408" s="8" t="str">
        <f t="shared" si="12"/>
        <v>2011</v>
      </c>
      <c r="D408" s="8" t="str">
        <f t="shared" si="13"/>
        <v>18</v>
      </c>
      <c r="E408" s="7">
        <v>1</v>
      </c>
      <c r="F408" s="7">
        <v>0</v>
      </c>
      <c r="G408" s="7">
        <v>1</v>
      </c>
      <c r="H408" s="7">
        <v>22</v>
      </c>
      <c r="I408" s="7" t="b">
        <v>0</v>
      </c>
      <c r="J408" s="22">
        <f>--Table1[[#This Row],[HOLIDAY]]</f>
        <v>0</v>
      </c>
      <c r="K408" s="9">
        <v>2</v>
      </c>
      <c r="L408" s="7">
        <v>2</v>
      </c>
      <c r="M408" s="7">
        <f>LEN(TEXT(Table1[[#This Row],[WEATHER]],"0"))</f>
        <v>1</v>
      </c>
      <c r="N408" s="36">
        <v>0.22</v>
      </c>
      <c r="O408" s="37">
        <f>VLOOKUP(Table1[[#This Row],[INSTANT]],[1]dataset_2!$A:$G,2,FALSE)</f>
        <v>0.2727</v>
      </c>
      <c r="P408" s="37">
        <f>VLOOKUP(Table1[[#This Row],[INSTANT]],[1]dataset_2!$A:$G,3,0)</f>
        <v>0.93</v>
      </c>
      <c r="Q408" s="37">
        <f>VLOOKUP(Table1[[#This Row],[INSTANT]],[1]dataset_2!$A:$D,4,FALSE)</f>
        <v>0.1343</v>
      </c>
      <c r="R408" s="37">
        <f>VLOOKUP(Table1[[#This Row],[INSTANT]],[1]dataset_2!$A:$G,5,0)</f>
        <v>1</v>
      </c>
      <c r="S408" s="38">
        <f>VLOOKUP(Table1[[#This Row],[INSTANT]],[1]dataset_2!$A:$G,6,0)</f>
        <v>46</v>
      </c>
      <c r="T408" s="38">
        <f>VLOOKUP(Table1[[#This Row],[INSTANT]],[1]dataset_2!$A:$G,7,0)</f>
        <v>47</v>
      </c>
    </row>
    <row r="409" spans="1:20" ht="13" x14ac:dyDescent="0.15">
      <c r="A409" s="35">
        <v>408</v>
      </c>
      <c r="B409" s="27">
        <v>40561</v>
      </c>
      <c r="C409" s="8" t="str">
        <f t="shared" si="12"/>
        <v>2011</v>
      </c>
      <c r="D409" s="8" t="str">
        <f t="shared" si="13"/>
        <v>18</v>
      </c>
      <c r="E409" s="7">
        <v>1</v>
      </c>
      <c r="F409" s="7">
        <v>0</v>
      </c>
      <c r="G409" s="7">
        <v>1</v>
      </c>
      <c r="H409" s="7">
        <v>23</v>
      </c>
      <c r="I409" s="7" t="b">
        <v>0</v>
      </c>
      <c r="J409" s="22">
        <f>--Table1[[#This Row],[HOLIDAY]]</f>
        <v>0</v>
      </c>
      <c r="K409" s="9">
        <v>2</v>
      </c>
      <c r="L409" s="7">
        <v>2</v>
      </c>
      <c r="M409" s="7">
        <f>LEN(TEXT(Table1[[#This Row],[WEATHER]],"0"))</f>
        <v>1</v>
      </c>
      <c r="N409" s="36">
        <v>0.22</v>
      </c>
      <c r="O409" s="37">
        <f>VLOOKUP(Table1[[#This Row],[INSTANT]],[1]dataset_2!$A:$G,2,FALSE)</f>
        <v>0.30299999999999999</v>
      </c>
      <c r="P409" s="37">
        <f>VLOOKUP(Table1[[#This Row],[INSTANT]],[1]dataset_2!$A:$G,3,0)</f>
        <v>0.87</v>
      </c>
      <c r="Q409" s="37">
        <f>VLOOKUP(Table1[[#This Row],[INSTANT]],[1]dataset_2!$A:$D,4,FALSE)</f>
        <v>8.9599999999999999E-2</v>
      </c>
      <c r="R409" s="37">
        <f>VLOOKUP(Table1[[#This Row],[INSTANT]],[1]dataset_2!$A:$G,5,0)</f>
        <v>5</v>
      </c>
      <c r="S409" s="38">
        <f>VLOOKUP(Table1[[#This Row],[INSTANT]],[1]dataset_2!$A:$G,6,0)</f>
        <v>47</v>
      </c>
      <c r="T409" s="38">
        <f>VLOOKUP(Table1[[#This Row],[INSTANT]],[1]dataset_2!$A:$G,7,0)</f>
        <v>52</v>
      </c>
    </row>
    <row r="410" spans="1:20" ht="13" x14ac:dyDescent="0.15">
      <c r="A410" s="35">
        <v>409</v>
      </c>
      <c r="B410" s="27">
        <v>40562</v>
      </c>
      <c r="C410" s="8" t="str">
        <f t="shared" si="12"/>
        <v>2011</v>
      </c>
      <c r="D410" s="8" t="str">
        <f t="shared" si="13"/>
        <v>19</v>
      </c>
      <c r="E410" s="7">
        <v>1</v>
      </c>
      <c r="F410" s="7">
        <v>0</v>
      </c>
      <c r="G410" s="7">
        <v>1</v>
      </c>
      <c r="H410" s="7">
        <v>0</v>
      </c>
      <c r="I410" s="7" t="b">
        <v>0</v>
      </c>
      <c r="J410" s="22">
        <f>--Table1[[#This Row],[HOLIDAY]]</f>
        <v>0</v>
      </c>
      <c r="K410" s="9">
        <v>3</v>
      </c>
      <c r="L410" s="7">
        <v>2</v>
      </c>
      <c r="M410" s="7">
        <f>LEN(TEXT(Table1[[#This Row],[WEATHER]],"0"))</f>
        <v>1</v>
      </c>
      <c r="N410" s="36">
        <v>0.22</v>
      </c>
      <c r="O410" s="37">
        <f>VLOOKUP(Table1[[#This Row],[INSTANT]],[1]dataset_2!$A:$G,2,FALSE)</f>
        <v>0.31819999999999998</v>
      </c>
      <c r="P410" s="37">
        <f>VLOOKUP(Table1[[#This Row],[INSTANT]],[1]dataset_2!$A:$G,3,0)</f>
        <v>0.81</v>
      </c>
      <c r="Q410" s="37">
        <f>VLOOKUP(Table1[[#This Row],[INSTANT]],[1]dataset_2!$A:$D,4,FALSE)</f>
        <v>8.9599999999999999E-2</v>
      </c>
      <c r="R410" s="37">
        <f>VLOOKUP(Table1[[#This Row],[INSTANT]],[1]dataset_2!$A:$G,5,0)</f>
        <v>5</v>
      </c>
      <c r="S410" s="38">
        <f>VLOOKUP(Table1[[#This Row],[INSTANT]],[1]dataset_2!$A:$G,6,0)</f>
        <v>65</v>
      </c>
      <c r="T410" s="38">
        <f>VLOOKUP(Table1[[#This Row],[INSTANT]],[1]dataset_2!$A:$G,7,0)</f>
        <v>70</v>
      </c>
    </row>
    <row r="411" spans="1:20" ht="13" x14ac:dyDescent="0.15">
      <c r="A411" s="35">
        <v>410</v>
      </c>
      <c r="B411" s="27">
        <v>40562</v>
      </c>
      <c r="C411" s="8" t="str">
        <f t="shared" si="12"/>
        <v>2011</v>
      </c>
      <c r="D411" s="8" t="str">
        <f t="shared" si="13"/>
        <v>19</v>
      </c>
      <c r="E411" s="7">
        <v>1</v>
      </c>
      <c r="F411" s="7">
        <v>0</v>
      </c>
      <c r="G411" s="7">
        <v>1</v>
      </c>
      <c r="H411" s="7">
        <v>1</v>
      </c>
      <c r="I411" s="7" t="b">
        <v>0</v>
      </c>
      <c r="J411" s="22">
        <f>--Table1[[#This Row],[HOLIDAY]]</f>
        <v>0</v>
      </c>
      <c r="K411" s="9">
        <v>3</v>
      </c>
      <c r="L411" s="7">
        <v>3</v>
      </c>
      <c r="M411" s="7">
        <f>LEN(TEXT(Table1[[#This Row],[WEATHER]],"0"))</f>
        <v>1</v>
      </c>
      <c r="N411" s="36">
        <v>0.22</v>
      </c>
      <c r="O411" s="37">
        <f>VLOOKUP(Table1[[#This Row],[INSTANT]],[1]dataset_2!$A:$G,2,FALSE)</f>
        <v>0.40910000000000002</v>
      </c>
      <c r="P411" s="37">
        <f>VLOOKUP(Table1[[#This Row],[INSTANT]],[1]dataset_2!$A:$G,3,0)</f>
        <v>0.62</v>
      </c>
      <c r="Q411" s="37">
        <f>VLOOKUP(Table1[[#This Row],[INSTANT]],[1]dataset_2!$A:$D,4,FALSE)</f>
        <v>0.28360000000000002</v>
      </c>
      <c r="R411" s="37">
        <f>VLOOKUP(Table1[[#This Row],[INSTANT]],[1]dataset_2!$A:$G,5,0)</f>
        <v>11</v>
      </c>
      <c r="S411" s="38">
        <f>VLOOKUP(Table1[[#This Row],[INSTANT]],[1]dataset_2!$A:$G,6,0)</f>
        <v>67</v>
      </c>
      <c r="T411" s="38">
        <f>VLOOKUP(Table1[[#This Row],[INSTANT]],[1]dataset_2!$A:$G,7,0)</f>
        <v>78</v>
      </c>
    </row>
    <row r="412" spans="1:20" ht="13" x14ac:dyDescent="0.15">
      <c r="A412" s="35">
        <v>411</v>
      </c>
      <c r="B412" s="27">
        <v>40562</v>
      </c>
      <c r="C412" s="8" t="str">
        <f t="shared" si="12"/>
        <v>2011</v>
      </c>
      <c r="D412" s="8" t="str">
        <f t="shared" si="13"/>
        <v>19</v>
      </c>
      <c r="E412" s="7">
        <v>1</v>
      </c>
      <c r="F412" s="7">
        <v>0</v>
      </c>
      <c r="G412" s="7">
        <v>1</v>
      </c>
      <c r="H412" s="7">
        <v>2</v>
      </c>
      <c r="I412" s="7" t="b">
        <v>0</v>
      </c>
      <c r="J412" s="22">
        <f>--Table1[[#This Row],[HOLIDAY]]</f>
        <v>0</v>
      </c>
      <c r="K412" s="9">
        <v>3</v>
      </c>
      <c r="L412" s="7">
        <v>3</v>
      </c>
      <c r="M412" s="7">
        <f>LEN(TEXT(Table1[[#This Row],[WEATHER]],"0"))</f>
        <v>1</v>
      </c>
      <c r="N412" s="36">
        <v>0.22</v>
      </c>
      <c r="O412" s="37">
        <f>VLOOKUP(Table1[[#This Row],[INSTANT]],[1]dataset_2!$A:$G,2,FALSE)</f>
        <v>0.40910000000000002</v>
      </c>
      <c r="P412" s="37">
        <f>VLOOKUP(Table1[[#This Row],[INSTANT]],[1]dataset_2!$A:$G,3,0)</f>
        <v>0.57999999999999996</v>
      </c>
      <c r="Q412" s="37">
        <f>VLOOKUP(Table1[[#This Row],[INSTANT]],[1]dataset_2!$A:$D,4,FALSE)</f>
        <v>0.25369999999999998</v>
      </c>
      <c r="R412" s="37">
        <f>VLOOKUP(Table1[[#This Row],[INSTANT]],[1]dataset_2!$A:$G,5,0)</f>
        <v>7</v>
      </c>
      <c r="S412" s="38">
        <f>VLOOKUP(Table1[[#This Row],[INSTANT]],[1]dataset_2!$A:$G,6,0)</f>
        <v>68</v>
      </c>
      <c r="T412" s="38">
        <f>VLOOKUP(Table1[[#This Row],[INSTANT]],[1]dataset_2!$A:$G,7,0)</f>
        <v>75</v>
      </c>
    </row>
    <row r="413" spans="1:20" ht="13" x14ac:dyDescent="0.15">
      <c r="A413" s="35">
        <v>412</v>
      </c>
      <c r="B413" s="27">
        <v>40562</v>
      </c>
      <c r="C413" s="8" t="str">
        <f t="shared" si="12"/>
        <v>2011</v>
      </c>
      <c r="D413" s="8" t="str">
        <f t="shared" si="13"/>
        <v>19</v>
      </c>
      <c r="E413" s="7">
        <v>1</v>
      </c>
      <c r="F413" s="7">
        <v>0</v>
      </c>
      <c r="G413" s="7">
        <v>1</v>
      </c>
      <c r="H413" s="7">
        <v>4</v>
      </c>
      <c r="I413" s="7" t="b">
        <v>0</v>
      </c>
      <c r="J413" s="22">
        <f>--Table1[[#This Row],[HOLIDAY]]</f>
        <v>0</v>
      </c>
      <c r="K413" s="9">
        <v>3</v>
      </c>
      <c r="L413" s="7">
        <v>3</v>
      </c>
      <c r="M413" s="7">
        <f>LEN(TEXT(Table1[[#This Row],[WEATHER]],"0"))</f>
        <v>1</v>
      </c>
      <c r="N413" s="36">
        <v>0.22</v>
      </c>
      <c r="O413" s="37">
        <f>VLOOKUP(Table1[[#This Row],[INSTANT]],[1]dataset_2!$A:$G,2,FALSE)</f>
        <v>0.40910000000000002</v>
      </c>
      <c r="P413" s="37">
        <f>VLOOKUP(Table1[[#This Row],[INSTANT]],[1]dataset_2!$A:$G,3,0)</f>
        <v>0.54</v>
      </c>
      <c r="Q413" s="37">
        <f>VLOOKUP(Table1[[#This Row],[INSTANT]],[1]dataset_2!$A:$D,4,FALSE)</f>
        <v>0.28360000000000002</v>
      </c>
      <c r="R413" s="37">
        <f>VLOOKUP(Table1[[#This Row],[INSTANT]],[1]dataset_2!$A:$G,5,0)</f>
        <v>4</v>
      </c>
      <c r="S413" s="38">
        <f>VLOOKUP(Table1[[#This Row],[INSTANT]],[1]dataset_2!$A:$G,6,0)</f>
        <v>78</v>
      </c>
      <c r="T413" s="38">
        <f>VLOOKUP(Table1[[#This Row],[INSTANT]],[1]dataset_2!$A:$G,7,0)</f>
        <v>82</v>
      </c>
    </row>
    <row r="414" spans="1:20" ht="13" x14ac:dyDescent="0.15">
      <c r="A414" s="35">
        <v>413</v>
      </c>
      <c r="B414" s="27">
        <v>40562</v>
      </c>
      <c r="C414" s="8" t="str">
        <f t="shared" si="12"/>
        <v>2011</v>
      </c>
      <c r="D414" s="8" t="str">
        <f t="shared" si="13"/>
        <v>19</v>
      </c>
      <c r="E414" s="7">
        <v>1</v>
      </c>
      <c r="F414" s="7">
        <v>0</v>
      </c>
      <c r="G414" s="7">
        <v>1</v>
      </c>
      <c r="H414" s="7">
        <v>5</v>
      </c>
      <c r="I414" s="7" t="b">
        <v>0</v>
      </c>
      <c r="J414" s="22">
        <f>--Table1[[#This Row],[HOLIDAY]]</f>
        <v>0</v>
      </c>
      <c r="K414" s="9">
        <v>3</v>
      </c>
      <c r="L414" s="7">
        <v>2</v>
      </c>
      <c r="M414" s="7">
        <f>LEN(TEXT(Table1[[#This Row],[WEATHER]],"0"))</f>
        <v>1</v>
      </c>
      <c r="N414" s="36">
        <v>0.22</v>
      </c>
      <c r="O414" s="37">
        <f>VLOOKUP(Table1[[#This Row],[INSTANT]],[1]dataset_2!$A:$G,2,FALSE)</f>
        <v>0.39389999999999997</v>
      </c>
      <c r="P414" s="37">
        <f>VLOOKUP(Table1[[#This Row],[INSTANT]],[1]dataset_2!$A:$G,3,0)</f>
        <v>0.57999999999999996</v>
      </c>
      <c r="Q414" s="37">
        <f>VLOOKUP(Table1[[#This Row],[INSTANT]],[1]dataset_2!$A:$D,4,FALSE)</f>
        <v>0.3881</v>
      </c>
      <c r="R414" s="37">
        <f>VLOOKUP(Table1[[#This Row],[INSTANT]],[1]dataset_2!$A:$G,5,0)</f>
        <v>10</v>
      </c>
      <c r="S414" s="38">
        <f>VLOOKUP(Table1[[#This Row],[INSTANT]],[1]dataset_2!$A:$G,6,0)</f>
        <v>94</v>
      </c>
      <c r="T414" s="38">
        <f>VLOOKUP(Table1[[#This Row],[INSTANT]],[1]dataset_2!$A:$G,7,0)</f>
        <v>104</v>
      </c>
    </row>
    <row r="415" spans="1:20" ht="13" x14ac:dyDescent="0.15">
      <c r="A415" s="35">
        <v>414</v>
      </c>
      <c r="B415" s="27">
        <v>40562</v>
      </c>
      <c r="C415" s="8" t="str">
        <f t="shared" si="12"/>
        <v>2011</v>
      </c>
      <c r="D415" s="8" t="str">
        <f t="shared" si="13"/>
        <v>19</v>
      </c>
      <c r="E415" s="7">
        <v>1</v>
      </c>
      <c r="F415" s="7">
        <v>0</v>
      </c>
      <c r="G415" s="7">
        <v>1</v>
      </c>
      <c r="H415" s="7">
        <v>6</v>
      </c>
      <c r="I415" s="7" t="b">
        <v>0</v>
      </c>
      <c r="J415" s="22">
        <f>--Table1[[#This Row],[HOLIDAY]]</f>
        <v>0</v>
      </c>
      <c r="K415" s="9">
        <v>3</v>
      </c>
      <c r="L415" s="7">
        <v>2</v>
      </c>
      <c r="M415" s="7">
        <f>LEN(TEXT(Table1[[#This Row],[WEATHER]],"0"))</f>
        <v>1</v>
      </c>
      <c r="N415" s="36">
        <v>0.22</v>
      </c>
      <c r="O415" s="37">
        <f>VLOOKUP(Table1[[#This Row],[INSTANT]],[1]dataset_2!$A:$G,2,FALSE)</f>
        <v>0.33329999999999999</v>
      </c>
      <c r="P415" s="37">
        <f>VLOOKUP(Table1[[#This Row],[INSTANT]],[1]dataset_2!$A:$G,3,0)</f>
        <v>0.56999999999999995</v>
      </c>
      <c r="Q415" s="37">
        <f>VLOOKUP(Table1[[#This Row],[INSTANT]],[1]dataset_2!$A:$D,4,FALSE)</f>
        <v>0.32840000000000003</v>
      </c>
      <c r="R415" s="37">
        <f>VLOOKUP(Table1[[#This Row],[INSTANT]],[1]dataset_2!$A:$G,5,0)</f>
        <v>7</v>
      </c>
      <c r="S415" s="38">
        <f>VLOOKUP(Table1[[#This Row],[INSTANT]],[1]dataset_2!$A:$G,6,0)</f>
        <v>190</v>
      </c>
      <c r="T415" s="38">
        <f>VLOOKUP(Table1[[#This Row],[INSTANT]],[1]dataset_2!$A:$G,7,0)</f>
        <v>197</v>
      </c>
    </row>
    <row r="416" spans="1:20" ht="13" x14ac:dyDescent="0.15">
      <c r="A416" s="35">
        <v>415</v>
      </c>
      <c r="B416" s="27">
        <v>40562</v>
      </c>
      <c r="C416" s="8" t="str">
        <f t="shared" si="12"/>
        <v>2011</v>
      </c>
      <c r="D416" s="8" t="str">
        <f t="shared" si="13"/>
        <v>19</v>
      </c>
      <c r="E416" s="7">
        <v>1</v>
      </c>
      <c r="F416" s="7">
        <v>0</v>
      </c>
      <c r="G416" s="7">
        <v>1</v>
      </c>
      <c r="H416" s="7">
        <v>7</v>
      </c>
      <c r="I416" s="7" t="b">
        <v>0</v>
      </c>
      <c r="J416" s="22">
        <f>--Table1[[#This Row],[HOLIDAY]]</f>
        <v>0</v>
      </c>
      <c r="K416" s="9">
        <v>3</v>
      </c>
      <c r="L416" s="7">
        <v>2</v>
      </c>
      <c r="M416" s="7">
        <f>LEN(TEXT(Table1[[#This Row],[WEATHER]],"0"))</f>
        <v>1</v>
      </c>
      <c r="N416" s="36">
        <v>0.24</v>
      </c>
      <c r="O416" s="37">
        <f>VLOOKUP(Table1[[#This Row],[INSTANT]],[1]dataset_2!$A:$G,2,FALSE)</f>
        <v>0.31819999999999998</v>
      </c>
      <c r="P416" s="37">
        <f>VLOOKUP(Table1[[#This Row],[INSTANT]],[1]dataset_2!$A:$G,3,0)</f>
        <v>0.61</v>
      </c>
      <c r="Q416" s="37">
        <f>VLOOKUP(Table1[[#This Row],[INSTANT]],[1]dataset_2!$A:$D,4,FALSE)</f>
        <v>0.28360000000000002</v>
      </c>
      <c r="R416" s="37">
        <f>VLOOKUP(Table1[[#This Row],[INSTANT]],[1]dataset_2!$A:$G,5,0)</f>
        <v>5</v>
      </c>
      <c r="S416" s="38">
        <f>VLOOKUP(Table1[[#This Row],[INSTANT]],[1]dataset_2!$A:$G,6,0)</f>
        <v>156</v>
      </c>
      <c r="T416" s="38">
        <f>VLOOKUP(Table1[[#This Row],[INSTANT]],[1]dataset_2!$A:$G,7,0)</f>
        <v>161</v>
      </c>
    </row>
    <row r="417" spans="1:20" ht="13" x14ac:dyDescent="0.15">
      <c r="A417" s="35">
        <v>416</v>
      </c>
      <c r="B417" s="27">
        <v>40562</v>
      </c>
      <c r="C417" s="8" t="str">
        <f t="shared" si="12"/>
        <v>2011</v>
      </c>
      <c r="D417" s="8" t="str">
        <f t="shared" si="13"/>
        <v>19</v>
      </c>
      <c r="E417" s="7">
        <v>1</v>
      </c>
      <c r="F417" s="7">
        <v>0</v>
      </c>
      <c r="G417" s="7">
        <v>1</v>
      </c>
      <c r="H417" s="7">
        <v>8</v>
      </c>
      <c r="I417" s="7" t="b">
        <v>0</v>
      </c>
      <c r="J417" s="22">
        <f>--Table1[[#This Row],[HOLIDAY]]</f>
        <v>0</v>
      </c>
      <c r="K417" s="9">
        <v>3</v>
      </c>
      <c r="L417" s="7">
        <v>2</v>
      </c>
      <c r="M417" s="7">
        <f>LEN(TEXT(Table1[[#This Row],[WEATHER]],"0"))</f>
        <v>1</v>
      </c>
      <c r="N417" s="36">
        <v>0.24</v>
      </c>
      <c r="O417" s="37">
        <f>VLOOKUP(Table1[[#This Row],[INSTANT]],[1]dataset_2!$A:$G,2,FALSE)</f>
        <v>0.28789999999999999</v>
      </c>
      <c r="P417" s="37">
        <f>VLOOKUP(Table1[[#This Row],[INSTANT]],[1]dataset_2!$A:$G,3,0)</f>
        <v>0.56999999999999995</v>
      </c>
      <c r="Q417" s="37">
        <f>VLOOKUP(Table1[[#This Row],[INSTANT]],[1]dataset_2!$A:$D,4,FALSE)</f>
        <v>0.41789999999999999</v>
      </c>
      <c r="R417" s="37">
        <f>VLOOKUP(Table1[[#This Row],[INSTANT]],[1]dataset_2!$A:$G,5,0)</f>
        <v>4</v>
      </c>
      <c r="S417" s="38">
        <f>VLOOKUP(Table1[[#This Row],[INSTANT]],[1]dataset_2!$A:$G,6,0)</f>
        <v>108</v>
      </c>
      <c r="T417" s="38">
        <f>VLOOKUP(Table1[[#This Row],[INSTANT]],[1]dataset_2!$A:$G,7,0)</f>
        <v>112</v>
      </c>
    </row>
    <row r="418" spans="1:20" ht="13" x14ac:dyDescent="0.15">
      <c r="A418" s="35">
        <v>417</v>
      </c>
      <c r="B418" s="27">
        <v>40562</v>
      </c>
      <c r="C418" s="8" t="str">
        <f t="shared" si="12"/>
        <v>2011</v>
      </c>
      <c r="D418" s="8" t="str">
        <f t="shared" si="13"/>
        <v>19</v>
      </c>
      <c r="E418" s="7">
        <v>1</v>
      </c>
      <c r="F418" s="7">
        <v>0</v>
      </c>
      <c r="G418" s="7">
        <v>1</v>
      </c>
      <c r="H418" s="7">
        <v>9</v>
      </c>
      <c r="I418" s="7" t="b">
        <v>0</v>
      </c>
      <c r="J418" s="22">
        <f>--Table1[[#This Row],[HOLIDAY]]</f>
        <v>0</v>
      </c>
      <c r="K418" s="9">
        <v>3</v>
      </c>
      <c r="L418" s="7">
        <v>2</v>
      </c>
      <c r="M418" s="7">
        <f>LEN(TEXT(Table1[[#This Row],[WEATHER]],"0"))</f>
        <v>1</v>
      </c>
      <c r="N418" s="36">
        <v>0.24</v>
      </c>
      <c r="O418" s="37">
        <f>VLOOKUP(Table1[[#This Row],[INSTANT]],[1]dataset_2!$A:$G,2,FALSE)</f>
        <v>0.30299999999999999</v>
      </c>
      <c r="P418" s="37">
        <f>VLOOKUP(Table1[[#This Row],[INSTANT]],[1]dataset_2!$A:$G,3,0)</f>
        <v>0.49</v>
      </c>
      <c r="Q418" s="37">
        <f>VLOOKUP(Table1[[#This Row],[INSTANT]],[1]dataset_2!$A:$D,4,FALSE)</f>
        <v>0.29849999999999999</v>
      </c>
      <c r="R418" s="37">
        <f>VLOOKUP(Table1[[#This Row],[INSTANT]],[1]dataset_2!$A:$G,5,0)</f>
        <v>2</v>
      </c>
      <c r="S418" s="38">
        <f>VLOOKUP(Table1[[#This Row],[INSTANT]],[1]dataset_2!$A:$G,6,0)</f>
        <v>74</v>
      </c>
      <c r="T418" s="38">
        <f>VLOOKUP(Table1[[#This Row],[INSTANT]],[1]dataset_2!$A:$G,7,0)</f>
        <v>76</v>
      </c>
    </row>
    <row r="419" spans="1:20" ht="13" x14ac:dyDescent="0.15">
      <c r="A419" s="35">
        <v>418</v>
      </c>
      <c r="B419" s="27">
        <v>40562</v>
      </c>
      <c r="C419" s="8" t="str">
        <f t="shared" si="12"/>
        <v>2011</v>
      </c>
      <c r="D419" s="8" t="str">
        <f t="shared" si="13"/>
        <v>19</v>
      </c>
      <c r="E419" s="7">
        <v>1</v>
      </c>
      <c r="F419" s="7">
        <v>0</v>
      </c>
      <c r="G419" s="7">
        <v>1</v>
      </c>
      <c r="H419" s="7">
        <v>10</v>
      </c>
      <c r="I419" s="7" t="b">
        <v>0</v>
      </c>
      <c r="J419" s="22">
        <f>--Table1[[#This Row],[HOLIDAY]]</f>
        <v>0</v>
      </c>
      <c r="K419" s="9">
        <v>3</v>
      </c>
      <c r="L419" s="7">
        <v>2</v>
      </c>
      <c r="M419" s="7">
        <f>LEN(TEXT(Table1[[#This Row],[WEATHER]],"0"))</f>
        <v>1</v>
      </c>
      <c r="N419" s="36">
        <v>0.26</v>
      </c>
      <c r="O419" s="37">
        <f>VLOOKUP(Table1[[#This Row],[INSTANT]],[1]dataset_2!$A:$G,2,FALSE)</f>
        <v>0.28789999999999999</v>
      </c>
      <c r="P419" s="37">
        <f>VLOOKUP(Table1[[#This Row],[INSTANT]],[1]dataset_2!$A:$G,3,0)</f>
        <v>0.49</v>
      </c>
      <c r="Q419" s="37">
        <f>VLOOKUP(Table1[[#This Row],[INSTANT]],[1]dataset_2!$A:$D,4,FALSE)</f>
        <v>0.41789999999999999</v>
      </c>
      <c r="R419" s="37">
        <f>VLOOKUP(Table1[[#This Row],[INSTANT]],[1]dataset_2!$A:$G,5,0)</f>
        <v>4</v>
      </c>
      <c r="S419" s="38">
        <f>VLOOKUP(Table1[[#This Row],[INSTANT]],[1]dataset_2!$A:$G,6,0)</f>
        <v>55</v>
      </c>
      <c r="T419" s="38">
        <f>VLOOKUP(Table1[[#This Row],[INSTANT]],[1]dataset_2!$A:$G,7,0)</f>
        <v>59</v>
      </c>
    </row>
    <row r="420" spans="1:20" ht="13" x14ac:dyDescent="0.15">
      <c r="A420" s="35">
        <v>419</v>
      </c>
      <c r="B420" s="27">
        <v>40562</v>
      </c>
      <c r="C420" s="8" t="str">
        <f t="shared" si="12"/>
        <v>2011</v>
      </c>
      <c r="D420" s="8" t="str">
        <f t="shared" si="13"/>
        <v>19</v>
      </c>
      <c r="E420" s="7">
        <v>1</v>
      </c>
      <c r="F420" s="7">
        <v>0</v>
      </c>
      <c r="G420" s="7">
        <v>1</v>
      </c>
      <c r="H420" s="7">
        <v>11</v>
      </c>
      <c r="I420" s="7" t="b">
        <v>0</v>
      </c>
      <c r="J420" s="22">
        <f>--Table1[[#This Row],[HOLIDAY]]</f>
        <v>0</v>
      </c>
      <c r="K420" s="9">
        <v>3</v>
      </c>
      <c r="L420" s="7">
        <v>2</v>
      </c>
      <c r="M420" s="7">
        <f>LEN(TEXT(Table1[[#This Row],[WEATHER]],"0"))</f>
        <v>1</v>
      </c>
      <c r="N420" s="36">
        <v>0.28000000000000003</v>
      </c>
      <c r="O420" s="37">
        <f>VLOOKUP(Table1[[#This Row],[INSTANT]],[1]dataset_2!$A:$G,2,FALSE)</f>
        <v>0.30299999999999999</v>
      </c>
      <c r="P420" s="37">
        <f>VLOOKUP(Table1[[#This Row],[INSTANT]],[1]dataset_2!$A:$G,3,0)</f>
        <v>0.52</v>
      </c>
      <c r="Q420" s="37">
        <f>VLOOKUP(Table1[[#This Row],[INSTANT]],[1]dataset_2!$A:$D,4,FALSE)</f>
        <v>0.16420000000000001</v>
      </c>
      <c r="R420" s="37">
        <f>VLOOKUP(Table1[[#This Row],[INSTANT]],[1]dataset_2!$A:$G,5,0)</f>
        <v>6</v>
      </c>
      <c r="S420" s="38">
        <f>VLOOKUP(Table1[[#This Row],[INSTANT]],[1]dataset_2!$A:$G,6,0)</f>
        <v>53</v>
      </c>
      <c r="T420" s="38">
        <f>VLOOKUP(Table1[[#This Row],[INSTANT]],[1]dataset_2!$A:$G,7,0)</f>
        <v>59</v>
      </c>
    </row>
    <row r="421" spans="1:20" ht="13" x14ac:dyDescent="0.15">
      <c r="A421" s="35">
        <v>420</v>
      </c>
      <c r="B421" s="27">
        <v>40562</v>
      </c>
      <c r="C421" s="8" t="str">
        <f t="shared" si="12"/>
        <v>2011</v>
      </c>
      <c r="D421" s="8" t="str">
        <f t="shared" si="13"/>
        <v>19</v>
      </c>
      <c r="E421" s="7">
        <v>1</v>
      </c>
      <c r="F421" s="7">
        <v>0</v>
      </c>
      <c r="G421" s="7">
        <v>1</v>
      </c>
      <c r="H421" s="7">
        <v>12</v>
      </c>
      <c r="I421" s="7" t="b">
        <v>0</v>
      </c>
      <c r="J421" s="22">
        <f>--Table1[[#This Row],[HOLIDAY]]</f>
        <v>0</v>
      </c>
      <c r="K421" s="9">
        <v>3</v>
      </c>
      <c r="L421" s="7">
        <v>2</v>
      </c>
      <c r="M421" s="7">
        <f>LEN(TEXT(Table1[[#This Row],[WEATHER]],"0"))</f>
        <v>1</v>
      </c>
      <c r="N421" s="36">
        <v>0.3</v>
      </c>
      <c r="O421" s="37">
        <f>VLOOKUP(Table1[[#This Row],[INSTANT]],[1]dataset_2!$A:$G,2,FALSE)</f>
        <v>0.2727</v>
      </c>
      <c r="P421" s="37">
        <f>VLOOKUP(Table1[[#This Row],[INSTANT]],[1]dataset_2!$A:$G,3,0)</f>
        <v>0.52</v>
      </c>
      <c r="Q421" s="37">
        <f>VLOOKUP(Table1[[#This Row],[INSTANT]],[1]dataset_2!$A:$D,4,FALSE)</f>
        <v>0.4627</v>
      </c>
      <c r="R421" s="37">
        <f>VLOOKUP(Table1[[#This Row],[INSTANT]],[1]dataset_2!$A:$G,5,0)</f>
        <v>1</v>
      </c>
      <c r="S421" s="38">
        <f>VLOOKUP(Table1[[#This Row],[INSTANT]],[1]dataset_2!$A:$G,6,0)</f>
        <v>27</v>
      </c>
      <c r="T421" s="38">
        <f>VLOOKUP(Table1[[#This Row],[INSTANT]],[1]dataset_2!$A:$G,7,0)</f>
        <v>28</v>
      </c>
    </row>
    <row r="422" spans="1:20" ht="13" x14ac:dyDescent="0.15">
      <c r="A422" s="35">
        <v>421</v>
      </c>
      <c r="B422" s="27">
        <v>40562</v>
      </c>
      <c r="C422" s="8" t="str">
        <f t="shared" si="12"/>
        <v>2011</v>
      </c>
      <c r="D422" s="8" t="str">
        <f t="shared" si="13"/>
        <v>19</v>
      </c>
      <c r="E422" s="7">
        <v>1</v>
      </c>
      <c r="F422" s="7">
        <v>0</v>
      </c>
      <c r="G422" s="7">
        <v>1</v>
      </c>
      <c r="H422" s="7">
        <v>13</v>
      </c>
      <c r="I422" s="7" t="b">
        <v>0</v>
      </c>
      <c r="J422" s="22">
        <f>--Table1[[#This Row],[HOLIDAY]]</f>
        <v>0</v>
      </c>
      <c r="K422" s="9">
        <v>3</v>
      </c>
      <c r="L422" s="7">
        <v>1</v>
      </c>
      <c r="M422" s="7">
        <f>LEN(TEXT(Table1[[#This Row],[WEATHER]],"0"))</f>
        <v>1</v>
      </c>
      <c r="N422" s="36">
        <v>0.4</v>
      </c>
      <c r="O422" s="37">
        <f>VLOOKUP(Table1[[#This Row],[INSTANT]],[1]dataset_2!$A:$G,2,FALSE)</f>
        <v>0.2273</v>
      </c>
      <c r="P422" s="37">
        <f>VLOOKUP(Table1[[#This Row],[INSTANT]],[1]dataset_2!$A:$G,3,0)</f>
        <v>0.56000000000000005</v>
      </c>
      <c r="Q422" s="37">
        <f>VLOOKUP(Table1[[#This Row],[INSTANT]],[1]dataset_2!$A:$D,4,FALSE)</f>
        <v>0.3881</v>
      </c>
      <c r="R422" s="37">
        <f>VLOOKUP(Table1[[#This Row],[INSTANT]],[1]dataset_2!$A:$G,5,0)</f>
        <v>5</v>
      </c>
      <c r="S422" s="38">
        <f>VLOOKUP(Table1[[#This Row],[INSTANT]],[1]dataset_2!$A:$G,6,0)</f>
        <v>8</v>
      </c>
      <c r="T422" s="38">
        <f>VLOOKUP(Table1[[#This Row],[INSTANT]],[1]dataset_2!$A:$G,7,0)</f>
        <v>13</v>
      </c>
    </row>
    <row r="423" spans="1:20" ht="13" x14ac:dyDescent="0.15">
      <c r="A423" s="35">
        <v>422</v>
      </c>
      <c r="B423" s="27">
        <v>40562</v>
      </c>
      <c r="C423" s="8" t="str">
        <f t="shared" si="12"/>
        <v>2011</v>
      </c>
      <c r="D423" s="8" t="str">
        <f t="shared" si="13"/>
        <v>19</v>
      </c>
      <c r="E423" s="7">
        <v>1</v>
      </c>
      <c r="F423" s="7">
        <v>0</v>
      </c>
      <c r="G423" s="7">
        <v>1</v>
      </c>
      <c r="H423" s="7">
        <v>14</v>
      </c>
      <c r="I423" s="7" t="b">
        <v>0</v>
      </c>
      <c r="J423" s="22">
        <f>--Table1[[#This Row],[HOLIDAY]]</f>
        <v>0</v>
      </c>
      <c r="K423" s="9">
        <v>3</v>
      </c>
      <c r="L423" s="7">
        <v>1</v>
      </c>
      <c r="M423" s="7">
        <f>LEN(TEXT(Table1[[#This Row],[WEATHER]],"0"))</f>
        <v>1</v>
      </c>
      <c r="N423" s="36">
        <v>0.4</v>
      </c>
      <c r="O423" s="37">
        <f>VLOOKUP(Table1[[#This Row],[INSTANT]],[1]dataset_2!$A:$G,2,FALSE)</f>
        <v>0.2727</v>
      </c>
      <c r="P423" s="37">
        <f>VLOOKUP(Table1[[#This Row],[INSTANT]],[1]dataset_2!$A:$G,3,0)</f>
        <v>0.56000000000000005</v>
      </c>
      <c r="Q423" s="37">
        <f>VLOOKUP(Table1[[#This Row],[INSTANT]],[1]dataset_2!$A:$D,4,FALSE)</f>
        <v>0</v>
      </c>
      <c r="R423" s="37">
        <f>VLOOKUP(Table1[[#This Row],[INSTANT]],[1]dataset_2!$A:$G,5,0)</f>
        <v>2</v>
      </c>
      <c r="S423" s="38">
        <f>VLOOKUP(Table1[[#This Row],[INSTANT]],[1]dataset_2!$A:$G,6,0)</f>
        <v>3</v>
      </c>
      <c r="T423" s="38">
        <f>VLOOKUP(Table1[[#This Row],[INSTANT]],[1]dataset_2!$A:$G,7,0)</f>
        <v>5</v>
      </c>
    </row>
    <row r="424" spans="1:20" ht="13" x14ac:dyDescent="0.15">
      <c r="A424" s="35">
        <v>423</v>
      </c>
      <c r="B424" s="27">
        <v>40562</v>
      </c>
      <c r="C424" s="8" t="str">
        <f t="shared" si="12"/>
        <v>2011</v>
      </c>
      <c r="D424" s="8" t="str">
        <f t="shared" si="13"/>
        <v>19</v>
      </c>
      <c r="E424" s="7">
        <v>1</v>
      </c>
      <c r="F424" s="7">
        <v>0</v>
      </c>
      <c r="G424" s="7">
        <v>1</v>
      </c>
      <c r="H424" s="7">
        <v>15</v>
      </c>
      <c r="I424" s="7" t="b">
        <v>0</v>
      </c>
      <c r="J424" s="22">
        <f>--Table1[[#This Row],[HOLIDAY]]</f>
        <v>0</v>
      </c>
      <c r="K424" s="9">
        <v>3</v>
      </c>
      <c r="L424" s="7">
        <v>1</v>
      </c>
      <c r="M424" s="7">
        <f>LEN(TEXT(Table1[[#This Row],[WEATHER]],"0"))</f>
        <v>1</v>
      </c>
      <c r="N424" s="36">
        <v>0.4</v>
      </c>
      <c r="O424" s="37">
        <f>VLOOKUP(Table1[[#This Row],[INSTANT]],[1]dataset_2!$A:$G,2,FALSE)</f>
        <v>0.2727</v>
      </c>
      <c r="P424" s="37">
        <f>VLOOKUP(Table1[[#This Row],[INSTANT]],[1]dataset_2!$A:$G,3,0)</f>
        <v>0.56000000000000005</v>
      </c>
      <c r="Q424" s="37">
        <f>VLOOKUP(Table1[[#This Row],[INSTANT]],[1]dataset_2!$A:$D,4,FALSE)</f>
        <v>0</v>
      </c>
      <c r="R424" s="37">
        <f>VLOOKUP(Table1[[#This Row],[INSTANT]],[1]dataset_2!$A:$G,5,0)</f>
        <v>0</v>
      </c>
      <c r="S424" s="38">
        <f>VLOOKUP(Table1[[#This Row],[INSTANT]],[1]dataset_2!$A:$G,6,0)</f>
        <v>2</v>
      </c>
      <c r="T424" s="38">
        <f>VLOOKUP(Table1[[#This Row],[INSTANT]],[1]dataset_2!$A:$G,7,0)</f>
        <v>2</v>
      </c>
    </row>
    <row r="425" spans="1:20" ht="13" x14ac:dyDescent="0.15">
      <c r="A425" s="35">
        <v>424</v>
      </c>
      <c r="B425" s="27">
        <v>40562</v>
      </c>
      <c r="C425" s="8" t="str">
        <f t="shared" si="12"/>
        <v>2011</v>
      </c>
      <c r="D425" s="8" t="str">
        <f t="shared" si="13"/>
        <v>19</v>
      </c>
      <c r="E425" s="7">
        <v>1</v>
      </c>
      <c r="F425" s="7">
        <v>0</v>
      </c>
      <c r="G425" s="7">
        <v>1</v>
      </c>
      <c r="H425" s="7">
        <v>16</v>
      </c>
      <c r="I425" s="7" t="b">
        <v>0</v>
      </c>
      <c r="J425" s="22">
        <f>--Table1[[#This Row],[HOLIDAY]]</f>
        <v>0</v>
      </c>
      <c r="K425" s="9">
        <v>3</v>
      </c>
      <c r="L425" s="7">
        <v>1</v>
      </c>
      <c r="M425" s="7">
        <f>LEN(TEXT(Table1[[#This Row],[WEATHER]],"0"))</f>
        <v>1</v>
      </c>
      <c r="N425" s="36">
        <v>0.38</v>
      </c>
      <c r="O425" s="37">
        <f>VLOOKUP(Table1[[#This Row],[INSTANT]],[1]dataset_2!$A:$G,2,FALSE)</f>
        <v>0.2576</v>
      </c>
      <c r="P425" s="37">
        <f>VLOOKUP(Table1[[#This Row],[INSTANT]],[1]dataset_2!$A:$G,3,0)</f>
        <v>0.56000000000000005</v>
      </c>
      <c r="Q425" s="37">
        <f>VLOOKUP(Table1[[#This Row],[INSTANT]],[1]dataset_2!$A:$D,4,FALSE)</f>
        <v>0.16420000000000001</v>
      </c>
      <c r="R425" s="37">
        <f>VLOOKUP(Table1[[#This Row],[INSTANT]],[1]dataset_2!$A:$G,5,0)</f>
        <v>0</v>
      </c>
      <c r="S425" s="38">
        <f>VLOOKUP(Table1[[#This Row],[INSTANT]],[1]dataset_2!$A:$G,6,0)</f>
        <v>1</v>
      </c>
      <c r="T425" s="38">
        <f>VLOOKUP(Table1[[#This Row],[INSTANT]],[1]dataset_2!$A:$G,7,0)</f>
        <v>1</v>
      </c>
    </row>
    <row r="426" spans="1:20" ht="13" x14ac:dyDescent="0.15">
      <c r="A426" s="35">
        <v>425</v>
      </c>
      <c r="B426" s="27">
        <v>40562</v>
      </c>
      <c r="C426" s="8" t="str">
        <f t="shared" si="12"/>
        <v>2011</v>
      </c>
      <c r="D426" s="8" t="str">
        <f t="shared" si="13"/>
        <v>19</v>
      </c>
      <c r="E426" s="7">
        <v>1</v>
      </c>
      <c r="F426" s="7">
        <v>0</v>
      </c>
      <c r="G426" s="7">
        <v>1</v>
      </c>
      <c r="H426" s="7">
        <v>17</v>
      </c>
      <c r="I426" s="7" t="b">
        <v>0</v>
      </c>
      <c r="J426" s="22">
        <f>--Table1[[#This Row],[HOLIDAY]]</f>
        <v>0</v>
      </c>
      <c r="K426" s="9">
        <v>3</v>
      </c>
      <c r="L426" s="7">
        <v>1</v>
      </c>
      <c r="M426" s="7">
        <f>LEN(TEXT(Table1[[#This Row],[WEATHER]],"0"))</f>
        <v>1</v>
      </c>
      <c r="N426" s="36">
        <v>0.36</v>
      </c>
      <c r="O426" s="37">
        <f>VLOOKUP(Table1[[#This Row],[INSTANT]],[1]dataset_2!$A:$G,2,FALSE)</f>
        <v>0.2576</v>
      </c>
      <c r="P426" s="37">
        <f>VLOOKUP(Table1[[#This Row],[INSTANT]],[1]dataset_2!$A:$G,3,0)</f>
        <v>0.56000000000000005</v>
      </c>
      <c r="Q426" s="37">
        <f>VLOOKUP(Table1[[#This Row],[INSTANT]],[1]dataset_2!$A:$D,4,FALSE)</f>
        <v>0.16420000000000001</v>
      </c>
      <c r="R426" s="37">
        <f>VLOOKUP(Table1[[#This Row],[INSTANT]],[1]dataset_2!$A:$G,5,0)</f>
        <v>0</v>
      </c>
      <c r="S426" s="38">
        <f>VLOOKUP(Table1[[#This Row],[INSTANT]],[1]dataset_2!$A:$G,6,0)</f>
        <v>1</v>
      </c>
      <c r="T426" s="38">
        <f>VLOOKUP(Table1[[#This Row],[INSTANT]],[1]dataset_2!$A:$G,7,0)</f>
        <v>1</v>
      </c>
    </row>
    <row r="427" spans="1:20" ht="13" x14ac:dyDescent="0.15">
      <c r="A427" s="35">
        <v>426</v>
      </c>
      <c r="B427" s="27">
        <v>40562</v>
      </c>
      <c r="C427" s="8" t="str">
        <f t="shared" si="12"/>
        <v>2011</v>
      </c>
      <c r="D427" s="8" t="str">
        <f t="shared" si="13"/>
        <v>19</v>
      </c>
      <c r="E427" s="7">
        <v>1</v>
      </c>
      <c r="F427" s="7">
        <v>0</v>
      </c>
      <c r="G427" s="7">
        <v>1</v>
      </c>
      <c r="H427" s="7">
        <v>18</v>
      </c>
      <c r="I427" s="7" t="b">
        <v>0</v>
      </c>
      <c r="J427" s="22">
        <f>--Table1[[#This Row],[HOLIDAY]]</f>
        <v>0</v>
      </c>
      <c r="K427" s="9">
        <v>3</v>
      </c>
      <c r="L427" s="7">
        <v>1</v>
      </c>
      <c r="M427" s="7">
        <f>LEN(TEXT(Table1[[#This Row],[WEATHER]],"0"))</f>
        <v>1</v>
      </c>
      <c r="N427" s="36">
        <v>0.34</v>
      </c>
      <c r="O427" s="37">
        <f>VLOOKUP(Table1[[#This Row],[INSTANT]],[1]dataset_2!$A:$G,2,FALSE)</f>
        <v>0.2273</v>
      </c>
      <c r="P427" s="37">
        <f>VLOOKUP(Table1[[#This Row],[INSTANT]],[1]dataset_2!$A:$G,3,0)</f>
        <v>0.6</v>
      </c>
      <c r="Q427" s="37">
        <f>VLOOKUP(Table1[[#This Row],[INSTANT]],[1]dataset_2!$A:$D,4,FALSE)</f>
        <v>0.22389999999999999</v>
      </c>
      <c r="R427" s="37">
        <f>VLOOKUP(Table1[[#This Row],[INSTANT]],[1]dataset_2!$A:$G,5,0)</f>
        <v>0</v>
      </c>
      <c r="S427" s="38">
        <f>VLOOKUP(Table1[[#This Row],[INSTANT]],[1]dataset_2!$A:$G,6,0)</f>
        <v>6</v>
      </c>
      <c r="T427" s="38">
        <f>VLOOKUP(Table1[[#This Row],[INSTANT]],[1]dataset_2!$A:$G,7,0)</f>
        <v>6</v>
      </c>
    </row>
    <row r="428" spans="1:20" ht="13" x14ac:dyDescent="0.15">
      <c r="A428" s="35">
        <v>427</v>
      </c>
      <c r="B428" s="27">
        <v>40562</v>
      </c>
      <c r="C428" s="8" t="str">
        <f t="shared" si="12"/>
        <v>2011</v>
      </c>
      <c r="D428" s="8" t="str">
        <f t="shared" si="13"/>
        <v>19</v>
      </c>
      <c r="E428" s="7">
        <v>1</v>
      </c>
      <c r="F428" s="7">
        <v>0</v>
      </c>
      <c r="G428" s="7">
        <v>1</v>
      </c>
      <c r="H428" s="7">
        <v>19</v>
      </c>
      <c r="I428" s="7" t="b">
        <v>0</v>
      </c>
      <c r="J428" s="22">
        <f>--Table1[[#This Row],[HOLIDAY]]</f>
        <v>0</v>
      </c>
      <c r="K428" s="9">
        <v>3</v>
      </c>
      <c r="L428" s="7">
        <v>1</v>
      </c>
      <c r="M428" s="7">
        <f>LEN(TEXT(Table1[[#This Row],[WEATHER]],"0"))</f>
        <v>1</v>
      </c>
      <c r="N428" s="36">
        <v>0.32</v>
      </c>
      <c r="O428" s="37">
        <f>VLOOKUP(Table1[[#This Row],[INSTANT]],[1]dataset_2!$A:$G,2,FALSE)</f>
        <v>0.21210000000000001</v>
      </c>
      <c r="P428" s="37">
        <f>VLOOKUP(Table1[[#This Row],[INSTANT]],[1]dataset_2!$A:$G,3,0)</f>
        <v>0.6</v>
      </c>
      <c r="Q428" s="37">
        <f>VLOOKUP(Table1[[#This Row],[INSTANT]],[1]dataset_2!$A:$D,4,FALSE)</f>
        <v>0.22389999999999999</v>
      </c>
      <c r="R428" s="37">
        <f>VLOOKUP(Table1[[#This Row],[INSTANT]],[1]dataset_2!$A:$G,5,0)</f>
        <v>0</v>
      </c>
      <c r="S428" s="38">
        <f>VLOOKUP(Table1[[#This Row],[INSTANT]],[1]dataset_2!$A:$G,6,0)</f>
        <v>35</v>
      </c>
      <c r="T428" s="38">
        <f>VLOOKUP(Table1[[#This Row],[INSTANT]],[1]dataset_2!$A:$G,7,0)</f>
        <v>35</v>
      </c>
    </row>
    <row r="429" spans="1:20" ht="13" x14ac:dyDescent="0.15">
      <c r="A429" s="35">
        <v>428</v>
      </c>
      <c r="B429" s="27">
        <v>40562</v>
      </c>
      <c r="C429" s="8" t="str">
        <f t="shared" si="12"/>
        <v>2011</v>
      </c>
      <c r="D429" s="8" t="str">
        <f t="shared" si="13"/>
        <v>19</v>
      </c>
      <c r="E429" s="7">
        <v>1</v>
      </c>
      <c r="F429" s="7">
        <v>0</v>
      </c>
      <c r="G429" s="7">
        <v>1</v>
      </c>
      <c r="H429" s="7">
        <v>20</v>
      </c>
      <c r="I429" s="7" t="b">
        <v>0</v>
      </c>
      <c r="J429" s="22">
        <f>--Table1[[#This Row],[HOLIDAY]]</f>
        <v>0</v>
      </c>
      <c r="K429" s="9">
        <v>3</v>
      </c>
      <c r="L429" s="7">
        <v>1</v>
      </c>
      <c r="M429" s="7">
        <f>LEN(TEXT(Table1[[#This Row],[WEATHER]],"0"))</f>
        <v>1</v>
      </c>
      <c r="N429" s="36">
        <v>0.32</v>
      </c>
      <c r="O429" s="37">
        <f>VLOOKUP(Table1[[#This Row],[INSTANT]],[1]dataset_2!$A:$G,2,FALSE)</f>
        <v>0.21210000000000001</v>
      </c>
      <c r="P429" s="37">
        <f>VLOOKUP(Table1[[#This Row],[INSTANT]],[1]dataset_2!$A:$G,3,0)</f>
        <v>0.55000000000000004</v>
      </c>
      <c r="Q429" s="37">
        <f>VLOOKUP(Table1[[#This Row],[INSTANT]],[1]dataset_2!$A:$D,4,FALSE)</f>
        <v>0.22389999999999999</v>
      </c>
      <c r="R429" s="37">
        <f>VLOOKUP(Table1[[#This Row],[INSTANT]],[1]dataset_2!$A:$G,5,0)</f>
        <v>1</v>
      </c>
      <c r="S429" s="38">
        <f>VLOOKUP(Table1[[#This Row],[INSTANT]],[1]dataset_2!$A:$G,6,0)</f>
        <v>100</v>
      </c>
      <c r="T429" s="38">
        <f>VLOOKUP(Table1[[#This Row],[INSTANT]],[1]dataset_2!$A:$G,7,0)</f>
        <v>101</v>
      </c>
    </row>
    <row r="430" spans="1:20" ht="13" x14ac:dyDescent="0.15">
      <c r="A430" s="35">
        <v>429</v>
      </c>
      <c r="B430" s="27">
        <v>40562</v>
      </c>
      <c r="C430" s="8" t="str">
        <f t="shared" si="12"/>
        <v>2011</v>
      </c>
      <c r="D430" s="8" t="str">
        <f t="shared" si="13"/>
        <v>19</v>
      </c>
      <c r="E430" s="7">
        <v>1</v>
      </c>
      <c r="F430" s="7">
        <v>0</v>
      </c>
      <c r="G430" s="7">
        <v>1</v>
      </c>
      <c r="H430" s="7">
        <v>21</v>
      </c>
      <c r="I430" s="7" t="b">
        <v>0</v>
      </c>
      <c r="J430" s="22">
        <f>--Table1[[#This Row],[HOLIDAY]]</f>
        <v>0</v>
      </c>
      <c r="K430" s="9">
        <v>3</v>
      </c>
      <c r="L430" s="7">
        <v>1</v>
      </c>
      <c r="M430" s="7">
        <f>LEN(TEXT(Table1[[#This Row],[WEATHER]],"0"))</f>
        <v>1</v>
      </c>
      <c r="N430" s="36">
        <v>0.32</v>
      </c>
      <c r="O430" s="37">
        <f>VLOOKUP(Table1[[#This Row],[INSTANT]],[1]dataset_2!$A:$G,2,FALSE)</f>
        <v>0.21210000000000001</v>
      </c>
      <c r="P430" s="37">
        <f>VLOOKUP(Table1[[#This Row],[INSTANT]],[1]dataset_2!$A:$G,3,0)</f>
        <v>0.55000000000000004</v>
      </c>
      <c r="Q430" s="37">
        <f>VLOOKUP(Table1[[#This Row],[INSTANT]],[1]dataset_2!$A:$D,4,FALSE)</f>
        <v>0.28360000000000002</v>
      </c>
      <c r="R430" s="37">
        <f>VLOOKUP(Table1[[#This Row],[INSTANT]],[1]dataset_2!$A:$G,5,0)</f>
        <v>2</v>
      </c>
      <c r="S430" s="38">
        <f>VLOOKUP(Table1[[#This Row],[INSTANT]],[1]dataset_2!$A:$G,6,0)</f>
        <v>247</v>
      </c>
      <c r="T430" s="38">
        <f>VLOOKUP(Table1[[#This Row],[INSTANT]],[1]dataset_2!$A:$G,7,0)</f>
        <v>249</v>
      </c>
    </row>
    <row r="431" spans="1:20" ht="13" x14ac:dyDescent="0.15">
      <c r="A431" s="35">
        <v>430</v>
      </c>
      <c r="B431" s="27">
        <v>40562</v>
      </c>
      <c r="C431" s="8" t="str">
        <f t="shared" si="12"/>
        <v>2011</v>
      </c>
      <c r="D431" s="8" t="str">
        <f t="shared" si="13"/>
        <v>19</v>
      </c>
      <c r="E431" s="7">
        <v>1</v>
      </c>
      <c r="F431" s="7">
        <v>0</v>
      </c>
      <c r="G431" s="7">
        <v>1</v>
      </c>
      <c r="H431" s="7">
        <v>22</v>
      </c>
      <c r="I431" s="7" t="b">
        <v>0</v>
      </c>
      <c r="J431" s="22">
        <f>--Table1[[#This Row],[HOLIDAY]]</f>
        <v>0</v>
      </c>
      <c r="K431" s="9">
        <v>3</v>
      </c>
      <c r="L431" s="7">
        <v>1</v>
      </c>
      <c r="M431" s="7">
        <f>LEN(TEXT(Table1[[#This Row],[WEATHER]],"0"))</f>
        <v>1</v>
      </c>
      <c r="N431" s="36">
        <v>0.3</v>
      </c>
      <c r="O431" s="37">
        <f>VLOOKUP(Table1[[#This Row],[INSTANT]],[1]dataset_2!$A:$G,2,FALSE)</f>
        <v>0.2273</v>
      </c>
      <c r="P431" s="37">
        <f>VLOOKUP(Table1[[#This Row],[INSTANT]],[1]dataset_2!$A:$G,3,0)</f>
        <v>0.52</v>
      </c>
      <c r="Q431" s="37">
        <f>VLOOKUP(Table1[[#This Row],[INSTANT]],[1]dataset_2!$A:$D,4,FALSE)</f>
        <v>0.22389999999999999</v>
      </c>
      <c r="R431" s="37">
        <f>VLOOKUP(Table1[[#This Row],[INSTANT]],[1]dataset_2!$A:$G,5,0)</f>
        <v>3</v>
      </c>
      <c r="S431" s="38">
        <f>VLOOKUP(Table1[[#This Row],[INSTANT]],[1]dataset_2!$A:$G,6,0)</f>
        <v>140</v>
      </c>
      <c r="T431" s="38">
        <f>VLOOKUP(Table1[[#This Row],[INSTANT]],[1]dataset_2!$A:$G,7,0)</f>
        <v>143</v>
      </c>
    </row>
    <row r="432" spans="1:20" ht="13" x14ac:dyDescent="0.15">
      <c r="A432" s="35">
        <v>431</v>
      </c>
      <c r="B432" s="27">
        <v>40562</v>
      </c>
      <c r="C432" s="8" t="str">
        <f t="shared" si="12"/>
        <v>2011</v>
      </c>
      <c r="D432" s="8" t="str">
        <f t="shared" si="13"/>
        <v>19</v>
      </c>
      <c r="E432" s="7">
        <v>1</v>
      </c>
      <c r="F432" s="7">
        <v>0</v>
      </c>
      <c r="G432" s="7">
        <v>1</v>
      </c>
      <c r="H432" s="7">
        <v>23</v>
      </c>
      <c r="I432" s="7" t="b">
        <v>0</v>
      </c>
      <c r="J432" s="22">
        <f>--Table1[[#This Row],[HOLIDAY]]</f>
        <v>0</v>
      </c>
      <c r="K432" s="9">
        <v>3</v>
      </c>
      <c r="L432" s="7">
        <v>1</v>
      </c>
      <c r="M432" s="7">
        <f>LEN(TEXT(Table1[[#This Row],[WEATHER]],"0"))</f>
        <v>1</v>
      </c>
      <c r="N432" s="36">
        <v>0.3</v>
      </c>
      <c r="O432" s="37">
        <f>VLOOKUP(Table1[[#This Row],[INSTANT]],[1]dataset_2!$A:$G,2,FALSE)</f>
        <v>0.2273</v>
      </c>
      <c r="P432" s="37">
        <f>VLOOKUP(Table1[[#This Row],[INSTANT]],[1]dataset_2!$A:$G,3,0)</f>
        <v>0.48</v>
      </c>
      <c r="Q432" s="37">
        <f>VLOOKUP(Table1[[#This Row],[INSTANT]],[1]dataset_2!$A:$D,4,FALSE)</f>
        <v>0.29849999999999999</v>
      </c>
      <c r="R432" s="37">
        <f>VLOOKUP(Table1[[#This Row],[INSTANT]],[1]dataset_2!$A:$G,5,0)</f>
        <v>1</v>
      </c>
      <c r="S432" s="38">
        <f>VLOOKUP(Table1[[#This Row],[INSTANT]],[1]dataset_2!$A:$G,6,0)</f>
        <v>56</v>
      </c>
      <c r="T432" s="38">
        <f>VLOOKUP(Table1[[#This Row],[INSTANT]],[1]dataset_2!$A:$G,7,0)</f>
        <v>57</v>
      </c>
    </row>
    <row r="433" spans="1:20" ht="13" x14ac:dyDescent="0.15">
      <c r="A433" s="35">
        <v>432</v>
      </c>
      <c r="B433" s="27">
        <v>40563</v>
      </c>
      <c r="C433" s="8" t="str">
        <f t="shared" si="12"/>
        <v>2011</v>
      </c>
      <c r="D433" s="8" t="str">
        <f t="shared" si="13"/>
        <v>20</v>
      </c>
      <c r="E433" s="7">
        <v>1</v>
      </c>
      <c r="F433" s="7">
        <v>0</v>
      </c>
      <c r="G433" s="7">
        <v>1</v>
      </c>
      <c r="H433" s="7">
        <v>0</v>
      </c>
      <c r="I433" s="7" t="b">
        <v>0</v>
      </c>
      <c r="J433" s="22">
        <f>--Table1[[#This Row],[HOLIDAY]]</f>
        <v>0</v>
      </c>
      <c r="K433" s="9">
        <v>4</v>
      </c>
      <c r="L433" s="7">
        <v>1</v>
      </c>
      <c r="M433" s="7">
        <f>LEN(TEXT(Table1[[#This Row],[WEATHER]],"0"))</f>
        <v>1</v>
      </c>
      <c r="N433" s="36">
        <v>0.26</v>
      </c>
      <c r="O433" s="37">
        <f>VLOOKUP(Table1[[#This Row],[INSTANT]],[1]dataset_2!$A:$G,2,FALSE)</f>
        <v>0.2727</v>
      </c>
      <c r="P433" s="37">
        <f>VLOOKUP(Table1[[#This Row],[INSTANT]],[1]dataset_2!$A:$G,3,0)</f>
        <v>0.45</v>
      </c>
      <c r="Q433" s="37">
        <f>VLOOKUP(Table1[[#This Row],[INSTANT]],[1]dataset_2!$A:$D,4,FALSE)</f>
        <v>0.16420000000000001</v>
      </c>
      <c r="R433" s="37">
        <f>VLOOKUP(Table1[[#This Row],[INSTANT]],[1]dataset_2!$A:$G,5,0)</f>
        <v>5</v>
      </c>
      <c r="S433" s="38">
        <f>VLOOKUP(Table1[[#This Row],[INSTANT]],[1]dataset_2!$A:$G,6,0)</f>
        <v>63</v>
      </c>
      <c r="T433" s="38">
        <f>VLOOKUP(Table1[[#This Row],[INSTANT]],[1]dataset_2!$A:$G,7,0)</f>
        <v>68</v>
      </c>
    </row>
    <row r="434" spans="1:20" ht="13" x14ac:dyDescent="0.15">
      <c r="A434" s="35">
        <v>433</v>
      </c>
      <c r="B434" s="27">
        <v>40563</v>
      </c>
      <c r="C434" s="8" t="str">
        <f t="shared" si="12"/>
        <v>2011</v>
      </c>
      <c r="D434" s="8" t="str">
        <f t="shared" si="13"/>
        <v>20</v>
      </c>
      <c r="E434" s="7">
        <v>1</v>
      </c>
      <c r="F434" s="7">
        <v>0</v>
      </c>
      <c r="G434" s="7">
        <v>1</v>
      </c>
      <c r="H434" s="7">
        <v>1</v>
      </c>
      <c r="I434" s="7" t="b">
        <v>0</v>
      </c>
      <c r="J434" s="22">
        <f>--Table1[[#This Row],[HOLIDAY]]</f>
        <v>0</v>
      </c>
      <c r="K434" s="9">
        <v>4</v>
      </c>
      <c r="L434" s="7">
        <v>1</v>
      </c>
      <c r="M434" s="7">
        <f>LEN(TEXT(Table1[[#This Row],[WEATHER]],"0"))</f>
        <v>1</v>
      </c>
      <c r="N434" s="36">
        <v>0.26</v>
      </c>
      <c r="O434" s="37">
        <f>VLOOKUP(Table1[[#This Row],[INSTANT]],[1]dataset_2!$A:$G,2,FALSE)</f>
        <v>0.33329999999999999</v>
      </c>
      <c r="P434" s="37">
        <f>VLOOKUP(Table1[[#This Row],[INSTANT]],[1]dataset_2!$A:$G,3,0)</f>
        <v>0.42</v>
      </c>
      <c r="Q434" s="37">
        <f>VLOOKUP(Table1[[#This Row],[INSTANT]],[1]dataset_2!$A:$D,4,FALSE)</f>
        <v>0</v>
      </c>
      <c r="R434" s="37">
        <f>VLOOKUP(Table1[[#This Row],[INSTANT]],[1]dataset_2!$A:$G,5,0)</f>
        <v>7</v>
      </c>
      <c r="S434" s="38">
        <f>VLOOKUP(Table1[[#This Row],[INSTANT]],[1]dataset_2!$A:$G,6,0)</f>
        <v>77</v>
      </c>
      <c r="T434" s="38">
        <f>VLOOKUP(Table1[[#This Row],[INSTANT]],[1]dataset_2!$A:$G,7,0)</f>
        <v>84</v>
      </c>
    </row>
    <row r="435" spans="1:20" ht="13" x14ac:dyDescent="0.15">
      <c r="A435" s="35">
        <v>434</v>
      </c>
      <c r="B435" s="27">
        <v>40563</v>
      </c>
      <c r="C435" s="8" t="str">
        <f t="shared" si="12"/>
        <v>2011</v>
      </c>
      <c r="D435" s="8" t="str">
        <f t="shared" si="13"/>
        <v>20</v>
      </c>
      <c r="E435" s="7">
        <v>1</v>
      </c>
      <c r="F435" s="7">
        <v>0</v>
      </c>
      <c r="G435" s="7">
        <v>1</v>
      </c>
      <c r="H435" s="7">
        <v>2</v>
      </c>
      <c r="I435" s="7" t="b">
        <v>0</v>
      </c>
      <c r="J435" s="22">
        <f>--Table1[[#This Row],[HOLIDAY]]</f>
        <v>0</v>
      </c>
      <c r="K435" s="9">
        <v>4</v>
      </c>
      <c r="L435" s="7">
        <v>1</v>
      </c>
      <c r="M435" s="7">
        <f>LEN(TEXT(Table1[[#This Row],[WEATHER]],"0"))</f>
        <v>1</v>
      </c>
      <c r="N435" s="36">
        <v>0.26</v>
      </c>
      <c r="O435" s="37">
        <f>VLOOKUP(Table1[[#This Row],[INSTANT]],[1]dataset_2!$A:$G,2,FALSE)</f>
        <v>0.28789999999999999</v>
      </c>
      <c r="P435" s="37">
        <f>VLOOKUP(Table1[[#This Row],[INSTANT]],[1]dataset_2!$A:$G,3,0)</f>
        <v>0.45</v>
      </c>
      <c r="Q435" s="37">
        <f>VLOOKUP(Table1[[#This Row],[INSTANT]],[1]dataset_2!$A:$D,4,FALSE)</f>
        <v>0.1045</v>
      </c>
      <c r="R435" s="37">
        <f>VLOOKUP(Table1[[#This Row],[INSTANT]],[1]dataset_2!$A:$G,5,0)</f>
        <v>12</v>
      </c>
      <c r="S435" s="38">
        <f>VLOOKUP(Table1[[#This Row],[INSTANT]],[1]dataset_2!$A:$G,6,0)</f>
        <v>86</v>
      </c>
      <c r="T435" s="38">
        <f>VLOOKUP(Table1[[#This Row],[INSTANT]],[1]dataset_2!$A:$G,7,0)</f>
        <v>98</v>
      </c>
    </row>
    <row r="436" spans="1:20" ht="13" x14ac:dyDescent="0.15">
      <c r="A436" s="35">
        <v>435</v>
      </c>
      <c r="B436" s="27">
        <v>40563</v>
      </c>
      <c r="C436" s="8" t="str">
        <f t="shared" si="12"/>
        <v>2011</v>
      </c>
      <c r="D436" s="8" t="str">
        <f t="shared" si="13"/>
        <v>20</v>
      </c>
      <c r="E436" s="7">
        <v>1</v>
      </c>
      <c r="F436" s="7">
        <v>0</v>
      </c>
      <c r="G436" s="7">
        <v>1</v>
      </c>
      <c r="H436" s="7">
        <v>3</v>
      </c>
      <c r="I436" s="7" t="b">
        <v>0</v>
      </c>
      <c r="J436" s="22">
        <f>--Table1[[#This Row],[HOLIDAY]]</f>
        <v>0</v>
      </c>
      <c r="K436" s="9">
        <v>4</v>
      </c>
      <c r="L436" s="7">
        <v>1</v>
      </c>
      <c r="M436" s="7">
        <f>LEN(TEXT(Table1[[#This Row],[WEATHER]],"0"))</f>
        <v>1</v>
      </c>
      <c r="N436" s="36">
        <v>0.26</v>
      </c>
      <c r="O436" s="37">
        <f>VLOOKUP(Table1[[#This Row],[INSTANT]],[1]dataset_2!$A:$G,2,FALSE)</f>
        <v>0.30299999999999999</v>
      </c>
      <c r="P436" s="37">
        <f>VLOOKUP(Table1[[#This Row],[INSTANT]],[1]dataset_2!$A:$G,3,0)</f>
        <v>0.45</v>
      </c>
      <c r="Q436" s="37">
        <f>VLOOKUP(Table1[[#This Row],[INSTANT]],[1]dataset_2!$A:$D,4,FALSE)</f>
        <v>0.1343</v>
      </c>
      <c r="R436" s="37">
        <f>VLOOKUP(Table1[[#This Row],[INSTANT]],[1]dataset_2!$A:$G,5,0)</f>
        <v>6</v>
      </c>
      <c r="S436" s="38">
        <f>VLOOKUP(Table1[[#This Row],[INSTANT]],[1]dataset_2!$A:$G,6,0)</f>
        <v>75</v>
      </c>
      <c r="T436" s="38">
        <f>VLOOKUP(Table1[[#This Row],[INSTANT]],[1]dataset_2!$A:$G,7,0)</f>
        <v>81</v>
      </c>
    </row>
    <row r="437" spans="1:20" ht="13" x14ac:dyDescent="0.15">
      <c r="A437" s="35">
        <v>436</v>
      </c>
      <c r="B437" s="27">
        <v>40563</v>
      </c>
      <c r="C437" s="8" t="str">
        <f t="shared" si="12"/>
        <v>2011</v>
      </c>
      <c r="D437" s="8" t="str">
        <f t="shared" si="13"/>
        <v>20</v>
      </c>
      <c r="E437" s="7">
        <v>1</v>
      </c>
      <c r="F437" s="7">
        <v>0</v>
      </c>
      <c r="G437" s="7">
        <v>1</v>
      </c>
      <c r="H437" s="7">
        <v>4</v>
      </c>
      <c r="I437" s="7" t="b">
        <v>0</v>
      </c>
      <c r="J437" s="22">
        <f>--Table1[[#This Row],[HOLIDAY]]</f>
        <v>0</v>
      </c>
      <c r="K437" s="9">
        <v>4</v>
      </c>
      <c r="L437" s="7">
        <v>1</v>
      </c>
      <c r="M437" s="7">
        <f>LEN(TEXT(Table1[[#This Row],[WEATHER]],"0"))</f>
        <v>1</v>
      </c>
      <c r="N437" s="36">
        <v>0.26</v>
      </c>
      <c r="O437" s="37">
        <f>VLOOKUP(Table1[[#This Row],[INSTANT]],[1]dataset_2!$A:$G,2,FALSE)</f>
        <v>0.31819999999999998</v>
      </c>
      <c r="P437" s="37">
        <f>VLOOKUP(Table1[[#This Row],[INSTANT]],[1]dataset_2!$A:$G,3,0)</f>
        <v>0.45</v>
      </c>
      <c r="Q437" s="37">
        <f>VLOOKUP(Table1[[#This Row],[INSTANT]],[1]dataset_2!$A:$D,4,FALSE)</f>
        <v>0.19400000000000001</v>
      </c>
      <c r="R437" s="37">
        <f>VLOOKUP(Table1[[#This Row],[INSTANT]],[1]dataset_2!$A:$G,5,0)</f>
        <v>8</v>
      </c>
      <c r="S437" s="38">
        <f>VLOOKUP(Table1[[#This Row],[INSTANT]],[1]dataset_2!$A:$G,6,0)</f>
        <v>62</v>
      </c>
      <c r="T437" s="38">
        <f>VLOOKUP(Table1[[#This Row],[INSTANT]],[1]dataset_2!$A:$G,7,0)</f>
        <v>70</v>
      </c>
    </row>
    <row r="438" spans="1:20" ht="13" x14ac:dyDescent="0.15">
      <c r="A438" s="35">
        <v>437</v>
      </c>
      <c r="B438" s="27">
        <v>40563</v>
      </c>
      <c r="C438" s="8" t="str">
        <f t="shared" si="12"/>
        <v>2011</v>
      </c>
      <c r="D438" s="8" t="str">
        <f t="shared" si="13"/>
        <v>20</v>
      </c>
      <c r="E438" s="7">
        <v>1</v>
      </c>
      <c r="F438" s="7">
        <v>0</v>
      </c>
      <c r="G438" s="7">
        <v>1</v>
      </c>
      <c r="H438" s="7">
        <v>5</v>
      </c>
      <c r="I438" s="7" t="b">
        <v>0</v>
      </c>
      <c r="J438" s="22">
        <f>--Table1[[#This Row],[HOLIDAY]]</f>
        <v>0</v>
      </c>
      <c r="K438" s="9">
        <v>4</v>
      </c>
      <c r="L438" s="7">
        <v>1</v>
      </c>
      <c r="M438" s="7">
        <f>LEN(TEXT(Table1[[#This Row],[WEATHER]],"0"))</f>
        <v>1</v>
      </c>
      <c r="N438" s="36">
        <v>0.24</v>
      </c>
      <c r="O438" s="37">
        <f>VLOOKUP(Table1[[#This Row],[INSTANT]],[1]dataset_2!$A:$G,2,FALSE)</f>
        <v>0.30299999999999999</v>
      </c>
      <c r="P438" s="37">
        <f>VLOOKUP(Table1[[#This Row],[INSTANT]],[1]dataset_2!$A:$G,3,0)</f>
        <v>0.49</v>
      </c>
      <c r="Q438" s="37">
        <f>VLOOKUP(Table1[[#This Row],[INSTANT]],[1]dataset_2!$A:$D,4,FALSE)</f>
        <v>0.1343</v>
      </c>
      <c r="R438" s="37">
        <f>VLOOKUP(Table1[[#This Row],[INSTANT]],[1]dataset_2!$A:$G,5,0)</f>
        <v>8</v>
      </c>
      <c r="S438" s="38">
        <f>VLOOKUP(Table1[[#This Row],[INSTANT]],[1]dataset_2!$A:$G,6,0)</f>
        <v>83</v>
      </c>
      <c r="T438" s="38">
        <f>VLOOKUP(Table1[[#This Row],[INSTANT]],[1]dataset_2!$A:$G,7,0)</f>
        <v>91</v>
      </c>
    </row>
    <row r="439" spans="1:20" ht="13" x14ac:dyDescent="0.15">
      <c r="A439" s="35">
        <v>438</v>
      </c>
      <c r="B439" s="27">
        <v>40563</v>
      </c>
      <c r="C439" s="8" t="str">
        <f t="shared" si="12"/>
        <v>2011</v>
      </c>
      <c r="D439" s="8" t="str">
        <f t="shared" si="13"/>
        <v>20</v>
      </c>
      <c r="E439" s="7">
        <v>1</v>
      </c>
      <c r="F439" s="7">
        <v>0</v>
      </c>
      <c r="G439" s="7">
        <v>1</v>
      </c>
      <c r="H439" s="7">
        <v>6</v>
      </c>
      <c r="I439" s="7" t="b">
        <v>0</v>
      </c>
      <c r="J439" s="22">
        <f>--Table1[[#This Row],[HOLIDAY]]</f>
        <v>0</v>
      </c>
      <c r="K439" s="9">
        <v>4</v>
      </c>
      <c r="L439" s="7">
        <v>1</v>
      </c>
      <c r="M439" s="7">
        <f>LEN(TEXT(Table1[[#This Row],[WEATHER]],"0"))</f>
        <v>1</v>
      </c>
      <c r="N439" s="36">
        <v>0.22</v>
      </c>
      <c r="O439" s="37">
        <f>VLOOKUP(Table1[[#This Row],[INSTANT]],[1]dataset_2!$A:$G,2,FALSE)</f>
        <v>0.31819999999999998</v>
      </c>
      <c r="P439" s="37">
        <f>VLOOKUP(Table1[[#This Row],[INSTANT]],[1]dataset_2!$A:$G,3,0)</f>
        <v>0.49</v>
      </c>
      <c r="Q439" s="37">
        <f>VLOOKUP(Table1[[#This Row],[INSTANT]],[1]dataset_2!$A:$D,4,FALSE)</f>
        <v>0.1045</v>
      </c>
      <c r="R439" s="37">
        <f>VLOOKUP(Table1[[#This Row],[INSTANT]],[1]dataset_2!$A:$G,5,0)</f>
        <v>8</v>
      </c>
      <c r="S439" s="38">
        <f>VLOOKUP(Table1[[#This Row],[INSTANT]],[1]dataset_2!$A:$G,6,0)</f>
        <v>207</v>
      </c>
      <c r="T439" s="38">
        <f>VLOOKUP(Table1[[#This Row],[INSTANT]],[1]dataset_2!$A:$G,7,0)</f>
        <v>215</v>
      </c>
    </row>
    <row r="440" spans="1:20" ht="13" x14ac:dyDescent="0.15">
      <c r="A440" s="35">
        <v>439</v>
      </c>
      <c r="B440" s="27">
        <v>40563</v>
      </c>
      <c r="C440" s="8" t="str">
        <f t="shared" si="12"/>
        <v>2011</v>
      </c>
      <c r="D440" s="8" t="str">
        <f t="shared" si="13"/>
        <v>20</v>
      </c>
      <c r="E440" s="7">
        <v>1</v>
      </c>
      <c r="F440" s="7">
        <v>0</v>
      </c>
      <c r="G440" s="7">
        <v>1</v>
      </c>
      <c r="H440" s="7">
        <v>7</v>
      </c>
      <c r="I440" s="7" t="b">
        <v>0</v>
      </c>
      <c r="J440" s="22">
        <f>--Table1[[#This Row],[HOLIDAY]]</f>
        <v>0</v>
      </c>
      <c r="K440" s="9">
        <v>4</v>
      </c>
      <c r="L440" s="7">
        <v>1</v>
      </c>
      <c r="M440" s="7">
        <f>LEN(TEXT(Table1[[#This Row],[WEATHER]],"0"))</f>
        <v>1</v>
      </c>
      <c r="N440" s="36">
        <v>0.22</v>
      </c>
      <c r="O440" s="37">
        <f>VLOOKUP(Table1[[#This Row],[INSTANT]],[1]dataset_2!$A:$G,2,FALSE)</f>
        <v>0.2576</v>
      </c>
      <c r="P440" s="37">
        <f>VLOOKUP(Table1[[#This Row],[INSTANT]],[1]dataset_2!$A:$G,3,0)</f>
        <v>0.56000000000000005</v>
      </c>
      <c r="Q440" s="37">
        <f>VLOOKUP(Table1[[#This Row],[INSTANT]],[1]dataset_2!$A:$D,4,FALSE)</f>
        <v>0.19400000000000001</v>
      </c>
      <c r="R440" s="37">
        <f>VLOOKUP(Table1[[#This Row],[INSTANT]],[1]dataset_2!$A:$G,5,0)</f>
        <v>1</v>
      </c>
      <c r="S440" s="38">
        <f>VLOOKUP(Table1[[#This Row],[INSTANT]],[1]dataset_2!$A:$G,6,0)</f>
        <v>184</v>
      </c>
      <c r="T440" s="38">
        <f>VLOOKUP(Table1[[#This Row],[INSTANT]],[1]dataset_2!$A:$G,7,0)</f>
        <v>185</v>
      </c>
    </row>
    <row r="441" spans="1:20" ht="13" x14ac:dyDescent="0.15">
      <c r="A441" s="35">
        <v>440</v>
      </c>
      <c r="B441" s="27">
        <v>40563</v>
      </c>
      <c r="C441" s="8" t="str">
        <f t="shared" si="12"/>
        <v>2011</v>
      </c>
      <c r="D441" s="8" t="str">
        <f t="shared" si="13"/>
        <v>20</v>
      </c>
      <c r="E441" s="7">
        <v>1</v>
      </c>
      <c r="F441" s="7">
        <v>0</v>
      </c>
      <c r="G441" s="7">
        <v>1</v>
      </c>
      <c r="H441" s="7">
        <v>8</v>
      </c>
      <c r="I441" s="7" t="b">
        <v>0</v>
      </c>
      <c r="J441" s="22">
        <f>--Table1[[#This Row],[HOLIDAY]]</f>
        <v>0</v>
      </c>
      <c r="K441" s="9">
        <v>4</v>
      </c>
      <c r="L441" s="7">
        <v>1</v>
      </c>
      <c r="M441" s="7">
        <f>LEN(TEXT(Table1[[#This Row],[WEATHER]],"0"))</f>
        <v>1</v>
      </c>
      <c r="N441" s="36">
        <v>0.22</v>
      </c>
      <c r="O441" s="37">
        <f>VLOOKUP(Table1[[#This Row],[INSTANT]],[1]dataset_2!$A:$G,2,FALSE)</f>
        <v>0.2273</v>
      </c>
      <c r="P441" s="37">
        <f>VLOOKUP(Table1[[#This Row],[INSTANT]],[1]dataset_2!$A:$G,3,0)</f>
        <v>0.56000000000000005</v>
      </c>
      <c r="Q441" s="37">
        <f>VLOOKUP(Table1[[#This Row],[INSTANT]],[1]dataset_2!$A:$D,4,FALSE)</f>
        <v>0.32840000000000003</v>
      </c>
      <c r="R441" s="37">
        <f>VLOOKUP(Table1[[#This Row],[INSTANT]],[1]dataset_2!$A:$G,5,0)</f>
        <v>6</v>
      </c>
      <c r="S441" s="38">
        <f>VLOOKUP(Table1[[#This Row],[INSTANT]],[1]dataset_2!$A:$G,6,0)</f>
        <v>146</v>
      </c>
      <c r="T441" s="38">
        <f>VLOOKUP(Table1[[#This Row],[INSTANT]],[1]dataset_2!$A:$G,7,0)</f>
        <v>152</v>
      </c>
    </row>
    <row r="442" spans="1:20" ht="13" x14ac:dyDescent="0.15">
      <c r="A442" s="35">
        <v>441</v>
      </c>
      <c r="B442" s="27">
        <v>40563</v>
      </c>
      <c r="C442" s="8" t="str">
        <f t="shared" si="12"/>
        <v>2011</v>
      </c>
      <c r="D442" s="8" t="str">
        <f t="shared" si="13"/>
        <v>20</v>
      </c>
      <c r="E442" s="7">
        <v>1</v>
      </c>
      <c r="F442" s="7">
        <v>0</v>
      </c>
      <c r="G442" s="7">
        <v>1</v>
      </c>
      <c r="H442" s="7">
        <v>9</v>
      </c>
      <c r="I442" s="7" t="b">
        <v>0</v>
      </c>
      <c r="J442" s="22">
        <f>--Table1[[#This Row],[HOLIDAY]]</f>
        <v>0</v>
      </c>
      <c r="K442" s="9">
        <v>4</v>
      </c>
      <c r="L442" s="7">
        <v>2</v>
      </c>
      <c r="M442" s="7">
        <f>LEN(TEXT(Table1[[#This Row],[WEATHER]],"0"))</f>
        <v>1</v>
      </c>
      <c r="N442" s="36">
        <v>0.24</v>
      </c>
      <c r="O442" s="37">
        <f>VLOOKUP(Table1[[#This Row],[INSTANT]],[1]dataset_2!$A:$G,2,FALSE)</f>
        <v>0.2424</v>
      </c>
      <c r="P442" s="37">
        <f>VLOOKUP(Table1[[#This Row],[INSTANT]],[1]dataset_2!$A:$G,3,0)</f>
        <v>0.6</v>
      </c>
      <c r="Q442" s="37">
        <f>VLOOKUP(Table1[[#This Row],[INSTANT]],[1]dataset_2!$A:$D,4,FALSE)</f>
        <v>0.28360000000000002</v>
      </c>
      <c r="R442" s="37">
        <f>VLOOKUP(Table1[[#This Row],[INSTANT]],[1]dataset_2!$A:$G,5,0)</f>
        <v>2</v>
      </c>
      <c r="S442" s="38">
        <f>VLOOKUP(Table1[[#This Row],[INSTANT]],[1]dataset_2!$A:$G,6,0)</f>
        <v>124</v>
      </c>
      <c r="T442" s="38">
        <f>VLOOKUP(Table1[[#This Row],[INSTANT]],[1]dataset_2!$A:$G,7,0)</f>
        <v>126</v>
      </c>
    </row>
    <row r="443" spans="1:20" ht="13" x14ac:dyDescent="0.15">
      <c r="A443" s="35">
        <v>442</v>
      </c>
      <c r="B443" s="27">
        <v>40563</v>
      </c>
      <c r="C443" s="8" t="str">
        <f t="shared" si="12"/>
        <v>2011</v>
      </c>
      <c r="D443" s="8" t="str">
        <f t="shared" si="13"/>
        <v>20</v>
      </c>
      <c r="E443" s="7">
        <v>1</v>
      </c>
      <c r="F443" s="7">
        <v>0</v>
      </c>
      <c r="G443" s="7">
        <v>1</v>
      </c>
      <c r="H443" s="7">
        <v>10</v>
      </c>
      <c r="I443" s="7" t="b">
        <v>0</v>
      </c>
      <c r="J443" s="22">
        <f>--Table1[[#This Row],[HOLIDAY]]</f>
        <v>0</v>
      </c>
      <c r="K443" s="9">
        <v>4</v>
      </c>
      <c r="L443" s="7">
        <v>1</v>
      </c>
      <c r="M443" s="7">
        <f>LEN(TEXT(Table1[[#This Row],[WEATHER]],"0"))</f>
        <v>1</v>
      </c>
      <c r="N443" s="36">
        <v>0.26</v>
      </c>
      <c r="O443" s="37">
        <f>VLOOKUP(Table1[[#This Row],[INSTANT]],[1]dataset_2!$A:$G,2,FALSE)</f>
        <v>0.2273</v>
      </c>
      <c r="P443" s="37">
        <f>VLOOKUP(Table1[[#This Row],[INSTANT]],[1]dataset_2!$A:$G,3,0)</f>
        <v>0.6</v>
      </c>
      <c r="Q443" s="37">
        <f>VLOOKUP(Table1[[#This Row],[INSTANT]],[1]dataset_2!$A:$D,4,FALSE)</f>
        <v>0.25369999999999998</v>
      </c>
      <c r="R443" s="37">
        <f>VLOOKUP(Table1[[#This Row],[INSTANT]],[1]dataset_2!$A:$G,5,0)</f>
        <v>3</v>
      </c>
      <c r="S443" s="38">
        <f>VLOOKUP(Table1[[#This Row],[INSTANT]],[1]dataset_2!$A:$G,6,0)</f>
        <v>54</v>
      </c>
      <c r="T443" s="38">
        <f>VLOOKUP(Table1[[#This Row],[INSTANT]],[1]dataset_2!$A:$G,7,0)</f>
        <v>57</v>
      </c>
    </row>
    <row r="444" spans="1:20" ht="13" x14ac:dyDescent="0.15">
      <c r="A444" s="35">
        <v>443</v>
      </c>
      <c r="B444" s="27">
        <v>40563</v>
      </c>
      <c r="C444" s="8" t="str">
        <f t="shared" si="12"/>
        <v>2011</v>
      </c>
      <c r="D444" s="8" t="str">
        <f t="shared" si="13"/>
        <v>20</v>
      </c>
      <c r="E444" s="7">
        <v>1</v>
      </c>
      <c r="F444" s="7">
        <v>0</v>
      </c>
      <c r="G444" s="7">
        <v>1</v>
      </c>
      <c r="H444" s="7">
        <v>11</v>
      </c>
      <c r="I444" s="7" t="b">
        <v>0</v>
      </c>
      <c r="J444" s="22">
        <f>--Table1[[#This Row],[HOLIDAY]]</f>
        <v>0</v>
      </c>
      <c r="K444" s="9">
        <v>4</v>
      </c>
      <c r="L444" s="7">
        <v>2</v>
      </c>
      <c r="M444" s="7">
        <f>LEN(TEXT(Table1[[#This Row],[WEATHER]],"0"))</f>
        <v>1</v>
      </c>
      <c r="N444" s="36">
        <v>0.28000000000000003</v>
      </c>
      <c r="O444" s="37">
        <f>VLOOKUP(Table1[[#This Row],[INSTANT]],[1]dataset_2!$A:$G,2,FALSE)</f>
        <v>0.21210000000000001</v>
      </c>
      <c r="P444" s="37">
        <f>VLOOKUP(Table1[[#This Row],[INSTANT]],[1]dataset_2!$A:$G,3,0)</f>
        <v>0.65</v>
      </c>
      <c r="Q444" s="37">
        <f>VLOOKUP(Table1[[#This Row],[INSTANT]],[1]dataset_2!$A:$D,4,FALSE)</f>
        <v>0.28360000000000002</v>
      </c>
      <c r="R444" s="37">
        <f>VLOOKUP(Table1[[#This Row],[INSTANT]],[1]dataset_2!$A:$G,5,0)</f>
        <v>0</v>
      </c>
      <c r="S444" s="38">
        <f>VLOOKUP(Table1[[#This Row],[INSTANT]],[1]dataset_2!$A:$G,6,0)</f>
        <v>56</v>
      </c>
      <c r="T444" s="38">
        <f>VLOOKUP(Table1[[#This Row],[INSTANT]],[1]dataset_2!$A:$G,7,0)</f>
        <v>56</v>
      </c>
    </row>
    <row r="445" spans="1:20" ht="13" x14ac:dyDescent="0.15">
      <c r="A445" s="35">
        <v>444</v>
      </c>
      <c r="B445" s="27">
        <v>40563</v>
      </c>
      <c r="C445" s="8" t="str">
        <f t="shared" si="12"/>
        <v>2011</v>
      </c>
      <c r="D445" s="8" t="str">
        <f t="shared" si="13"/>
        <v>20</v>
      </c>
      <c r="E445" s="7">
        <v>1</v>
      </c>
      <c r="F445" s="7">
        <v>0</v>
      </c>
      <c r="G445" s="7">
        <v>1</v>
      </c>
      <c r="H445" s="7">
        <v>12</v>
      </c>
      <c r="I445" s="7" t="b">
        <v>0</v>
      </c>
      <c r="J445" s="22">
        <f>--Table1[[#This Row],[HOLIDAY]]</f>
        <v>0</v>
      </c>
      <c r="K445" s="9">
        <v>4</v>
      </c>
      <c r="L445" s="7">
        <v>2</v>
      </c>
      <c r="M445" s="7">
        <f>LEN(TEXT(Table1[[#This Row],[WEATHER]],"0"))</f>
        <v>1</v>
      </c>
      <c r="N445" s="36">
        <v>0.3</v>
      </c>
      <c r="O445" s="37">
        <f>VLOOKUP(Table1[[#This Row],[INSTANT]],[1]dataset_2!$A:$G,2,FALSE)</f>
        <v>0.21210000000000001</v>
      </c>
      <c r="P445" s="37">
        <f>VLOOKUP(Table1[[#This Row],[INSTANT]],[1]dataset_2!$A:$G,3,0)</f>
        <v>0.65</v>
      </c>
      <c r="Q445" s="37">
        <f>VLOOKUP(Table1[[#This Row],[INSTANT]],[1]dataset_2!$A:$D,4,FALSE)</f>
        <v>0.32840000000000003</v>
      </c>
      <c r="R445" s="37">
        <f>VLOOKUP(Table1[[#This Row],[INSTANT]],[1]dataset_2!$A:$G,5,0)</f>
        <v>3</v>
      </c>
      <c r="S445" s="38">
        <f>VLOOKUP(Table1[[#This Row],[INSTANT]],[1]dataset_2!$A:$G,6,0)</f>
        <v>28</v>
      </c>
      <c r="T445" s="38">
        <f>VLOOKUP(Table1[[#This Row],[INSTANT]],[1]dataset_2!$A:$G,7,0)</f>
        <v>31</v>
      </c>
    </row>
    <row r="446" spans="1:20" ht="13" x14ac:dyDescent="0.15">
      <c r="A446" s="35">
        <v>445</v>
      </c>
      <c r="B446" s="27">
        <v>40563</v>
      </c>
      <c r="C446" s="8" t="str">
        <f t="shared" si="12"/>
        <v>2011</v>
      </c>
      <c r="D446" s="8" t="str">
        <f t="shared" si="13"/>
        <v>20</v>
      </c>
      <c r="E446" s="7">
        <v>1</v>
      </c>
      <c r="F446" s="7">
        <v>0</v>
      </c>
      <c r="G446" s="7">
        <v>1</v>
      </c>
      <c r="H446" s="7">
        <v>13</v>
      </c>
      <c r="I446" s="7" t="b">
        <v>0</v>
      </c>
      <c r="J446" s="22">
        <f>--Table1[[#This Row],[HOLIDAY]]</f>
        <v>0</v>
      </c>
      <c r="K446" s="9">
        <v>4</v>
      </c>
      <c r="L446" s="7">
        <v>2</v>
      </c>
      <c r="M446" s="7">
        <f>LEN(TEXT(Table1[[#This Row],[WEATHER]],"0"))</f>
        <v>1</v>
      </c>
      <c r="N446" s="36">
        <v>0.28000000000000003</v>
      </c>
      <c r="O446" s="37">
        <f>VLOOKUP(Table1[[#This Row],[INSTANT]],[1]dataset_2!$A:$G,2,FALSE)</f>
        <v>0.2273</v>
      </c>
      <c r="P446" s="37">
        <f>VLOOKUP(Table1[[#This Row],[INSTANT]],[1]dataset_2!$A:$G,3,0)</f>
        <v>0.7</v>
      </c>
      <c r="Q446" s="37">
        <f>VLOOKUP(Table1[[#This Row],[INSTANT]],[1]dataset_2!$A:$D,4,FALSE)</f>
        <v>0.25369999999999998</v>
      </c>
      <c r="R446" s="37">
        <f>VLOOKUP(Table1[[#This Row],[INSTANT]],[1]dataset_2!$A:$G,5,0)</f>
        <v>1</v>
      </c>
      <c r="S446" s="38">
        <f>VLOOKUP(Table1[[#This Row],[INSTANT]],[1]dataset_2!$A:$G,6,0)</f>
        <v>20</v>
      </c>
      <c r="T446" s="38">
        <f>VLOOKUP(Table1[[#This Row],[INSTANT]],[1]dataset_2!$A:$G,7,0)</f>
        <v>21</v>
      </c>
    </row>
    <row r="447" spans="1:20" ht="13" x14ac:dyDescent="0.15">
      <c r="A447" s="35">
        <v>446</v>
      </c>
      <c r="B447" s="27">
        <v>40563</v>
      </c>
      <c r="C447" s="8" t="str">
        <f t="shared" si="12"/>
        <v>2011</v>
      </c>
      <c r="D447" s="8" t="str">
        <f t="shared" si="13"/>
        <v>20</v>
      </c>
      <c r="E447" s="7">
        <v>1</v>
      </c>
      <c r="F447" s="7">
        <v>0</v>
      </c>
      <c r="G447" s="7">
        <v>1</v>
      </c>
      <c r="H447" s="7">
        <v>14</v>
      </c>
      <c r="I447" s="7" t="b">
        <v>0</v>
      </c>
      <c r="J447" s="22">
        <f>--Table1[[#This Row],[HOLIDAY]]</f>
        <v>0</v>
      </c>
      <c r="K447" s="9">
        <v>4</v>
      </c>
      <c r="L447" s="7">
        <v>2</v>
      </c>
      <c r="M447" s="7">
        <f>LEN(TEXT(Table1[[#This Row],[WEATHER]],"0"))</f>
        <v>1</v>
      </c>
      <c r="N447" s="36">
        <v>0.3</v>
      </c>
      <c r="O447" s="37">
        <f>VLOOKUP(Table1[[#This Row],[INSTANT]],[1]dataset_2!$A:$G,2,FALSE)</f>
        <v>0.2273</v>
      </c>
      <c r="P447" s="37">
        <f>VLOOKUP(Table1[[#This Row],[INSTANT]],[1]dataset_2!$A:$G,3,0)</f>
        <v>0.7</v>
      </c>
      <c r="Q447" s="37">
        <f>VLOOKUP(Table1[[#This Row],[INSTANT]],[1]dataset_2!$A:$D,4,FALSE)</f>
        <v>0.25369999999999998</v>
      </c>
      <c r="R447" s="37">
        <f>VLOOKUP(Table1[[#This Row],[INSTANT]],[1]dataset_2!$A:$G,5,0)</f>
        <v>0</v>
      </c>
      <c r="S447" s="38">
        <f>VLOOKUP(Table1[[#This Row],[INSTANT]],[1]dataset_2!$A:$G,6,0)</f>
        <v>6</v>
      </c>
      <c r="T447" s="38">
        <f>VLOOKUP(Table1[[#This Row],[INSTANT]],[1]dataset_2!$A:$G,7,0)</f>
        <v>6</v>
      </c>
    </row>
    <row r="448" spans="1:20" ht="13" x14ac:dyDescent="0.15">
      <c r="A448" s="35">
        <v>447</v>
      </c>
      <c r="B448" s="27">
        <v>40563</v>
      </c>
      <c r="C448" s="8" t="str">
        <f t="shared" si="12"/>
        <v>2011</v>
      </c>
      <c r="D448" s="8" t="str">
        <f t="shared" si="13"/>
        <v>20</v>
      </c>
      <c r="E448" s="7">
        <v>1</v>
      </c>
      <c r="F448" s="7">
        <v>0</v>
      </c>
      <c r="G448" s="7">
        <v>1</v>
      </c>
      <c r="H448" s="7">
        <v>15</v>
      </c>
      <c r="I448" s="7" t="b">
        <v>0</v>
      </c>
      <c r="J448" s="22">
        <f>--Table1[[#This Row],[HOLIDAY]]</f>
        <v>0</v>
      </c>
      <c r="K448" s="9">
        <v>4</v>
      </c>
      <c r="L448" s="7">
        <v>2</v>
      </c>
      <c r="M448" s="7">
        <f>LEN(TEXT(Table1[[#This Row],[WEATHER]],"0"))</f>
        <v>1</v>
      </c>
      <c r="N448" s="36">
        <v>0.32</v>
      </c>
      <c r="O448" s="37">
        <f>VLOOKUP(Table1[[#This Row],[INSTANT]],[1]dataset_2!$A:$G,2,FALSE)</f>
        <v>0.2424</v>
      </c>
      <c r="P448" s="37">
        <f>VLOOKUP(Table1[[#This Row],[INSTANT]],[1]dataset_2!$A:$G,3,0)</f>
        <v>0.75</v>
      </c>
      <c r="Q448" s="37">
        <f>VLOOKUP(Table1[[#This Row],[INSTANT]],[1]dataset_2!$A:$D,4,FALSE)</f>
        <v>0.16420000000000001</v>
      </c>
      <c r="R448" s="37">
        <f>VLOOKUP(Table1[[#This Row],[INSTANT]],[1]dataset_2!$A:$G,5,0)</f>
        <v>0</v>
      </c>
      <c r="S448" s="38">
        <f>VLOOKUP(Table1[[#This Row],[INSTANT]],[1]dataset_2!$A:$G,6,0)</f>
        <v>2</v>
      </c>
      <c r="T448" s="38">
        <f>VLOOKUP(Table1[[#This Row],[INSTANT]],[1]dataset_2!$A:$G,7,0)</f>
        <v>2</v>
      </c>
    </row>
    <row r="449" spans="1:20" ht="13" x14ac:dyDescent="0.15">
      <c r="A449" s="35">
        <v>448</v>
      </c>
      <c r="B449" s="27">
        <v>40563</v>
      </c>
      <c r="C449" s="8" t="str">
        <f t="shared" si="12"/>
        <v>2011</v>
      </c>
      <c r="D449" s="8" t="str">
        <f t="shared" si="13"/>
        <v>20</v>
      </c>
      <c r="E449" s="7">
        <v>1</v>
      </c>
      <c r="F449" s="7">
        <v>0</v>
      </c>
      <c r="G449" s="7">
        <v>1</v>
      </c>
      <c r="H449" s="7">
        <v>16</v>
      </c>
      <c r="I449" s="7" t="b">
        <v>0</v>
      </c>
      <c r="J449" s="22">
        <f>--Table1[[#This Row],[HOLIDAY]]</f>
        <v>0</v>
      </c>
      <c r="K449" s="9">
        <v>4</v>
      </c>
      <c r="L449" s="7">
        <v>2</v>
      </c>
      <c r="M449" s="7">
        <f>LEN(TEXT(Table1[[#This Row],[WEATHER]],"0"))</f>
        <v>1</v>
      </c>
      <c r="N449" s="36">
        <v>0.3</v>
      </c>
      <c r="O449" s="37">
        <f>VLOOKUP(Table1[[#This Row],[INSTANT]],[1]dataset_2!$A:$G,2,FALSE)</f>
        <v>0.21210000000000001</v>
      </c>
      <c r="P449" s="37">
        <f>VLOOKUP(Table1[[#This Row],[INSTANT]],[1]dataset_2!$A:$G,3,0)</f>
        <v>0.8</v>
      </c>
      <c r="Q449" s="37">
        <f>VLOOKUP(Table1[[#This Row],[INSTANT]],[1]dataset_2!$A:$D,4,FALSE)</f>
        <v>0.29849999999999999</v>
      </c>
      <c r="R449" s="37">
        <f>VLOOKUP(Table1[[#This Row],[INSTANT]],[1]dataset_2!$A:$G,5,0)</f>
        <v>0</v>
      </c>
      <c r="S449" s="38">
        <f>VLOOKUP(Table1[[#This Row],[INSTANT]],[1]dataset_2!$A:$G,6,0)</f>
        <v>1</v>
      </c>
      <c r="T449" s="38">
        <f>VLOOKUP(Table1[[#This Row],[INSTANT]],[1]dataset_2!$A:$G,7,0)</f>
        <v>1</v>
      </c>
    </row>
    <row r="450" spans="1:20" ht="13" x14ac:dyDescent="0.15">
      <c r="A450" s="35">
        <v>449</v>
      </c>
      <c r="B450" s="27">
        <v>40563</v>
      </c>
      <c r="C450" s="8" t="str">
        <f t="shared" ref="C450:C513" si="14">RIGHT(TEXT(B451,"DD-MM-YYYY"),4)</f>
        <v>2011</v>
      </c>
      <c r="D450" s="8" t="str">
        <f t="shared" ref="D450:D513" si="15">LEFT(TEXT(B450,"DD-MM-YYYY"),2)</f>
        <v>20</v>
      </c>
      <c r="E450" s="7">
        <v>1</v>
      </c>
      <c r="F450" s="7">
        <v>0</v>
      </c>
      <c r="G450" s="7">
        <v>1</v>
      </c>
      <c r="H450" s="7">
        <v>17</v>
      </c>
      <c r="I450" s="7" t="b">
        <v>0</v>
      </c>
      <c r="J450" s="22">
        <f>--Table1[[#This Row],[HOLIDAY]]</f>
        <v>0</v>
      </c>
      <c r="K450" s="9">
        <v>4</v>
      </c>
      <c r="L450" s="7">
        <v>2</v>
      </c>
      <c r="M450" s="7">
        <f>LEN(TEXT(Table1[[#This Row],[WEATHER]],"0"))</f>
        <v>1</v>
      </c>
      <c r="N450" s="36">
        <v>0.3</v>
      </c>
      <c r="O450" s="37">
        <f>VLOOKUP(Table1[[#This Row],[INSTANT]],[1]dataset_2!$A:$G,2,FALSE)</f>
        <v>0.2576</v>
      </c>
      <c r="P450" s="37">
        <f>VLOOKUP(Table1[[#This Row],[INSTANT]],[1]dataset_2!$A:$G,3,0)</f>
        <v>0.87</v>
      </c>
      <c r="Q450" s="37">
        <f>VLOOKUP(Table1[[#This Row],[INSTANT]],[1]dataset_2!$A:$D,4,FALSE)</f>
        <v>8.9599999999999999E-2</v>
      </c>
      <c r="R450" s="37">
        <f>VLOOKUP(Table1[[#This Row],[INSTANT]],[1]dataset_2!$A:$G,5,0)</f>
        <v>0</v>
      </c>
      <c r="S450" s="38">
        <f>VLOOKUP(Table1[[#This Row],[INSTANT]],[1]dataset_2!$A:$G,6,0)</f>
        <v>1</v>
      </c>
      <c r="T450" s="38">
        <f>VLOOKUP(Table1[[#This Row],[INSTANT]],[1]dataset_2!$A:$G,7,0)</f>
        <v>1</v>
      </c>
    </row>
    <row r="451" spans="1:20" ht="13" x14ac:dyDescent="0.15">
      <c r="A451" s="35">
        <v>450</v>
      </c>
      <c r="B451" s="27">
        <v>40563</v>
      </c>
      <c r="C451" s="8" t="str">
        <f t="shared" si="14"/>
        <v>2011</v>
      </c>
      <c r="D451" s="8" t="str">
        <f t="shared" si="15"/>
        <v>20</v>
      </c>
      <c r="E451" s="7">
        <v>1</v>
      </c>
      <c r="F451" s="7">
        <v>0</v>
      </c>
      <c r="G451" s="7">
        <v>1</v>
      </c>
      <c r="H451" s="7">
        <v>18</v>
      </c>
      <c r="I451" s="7" t="b">
        <v>0</v>
      </c>
      <c r="J451" s="22">
        <f>--Table1[[#This Row],[HOLIDAY]]</f>
        <v>0</v>
      </c>
      <c r="K451" s="9">
        <v>4</v>
      </c>
      <c r="L451" s="7">
        <v>2</v>
      </c>
      <c r="M451" s="7">
        <f>LEN(TEXT(Table1[[#This Row],[WEATHER]],"0"))</f>
        <v>1</v>
      </c>
      <c r="N451" s="36">
        <v>0.26</v>
      </c>
      <c r="O451" s="37">
        <f>VLOOKUP(Table1[[#This Row],[INSTANT]],[1]dataset_2!$A:$G,2,FALSE)</f>
        <v>0.19700000000000001</v>
      </c>
      <c r="P451" s="37">
        <f>VLOOKUP(Table1[[#This Row],[INSTANT]],[1]dataset_2!$A:$G,3,0)</f>
        <v>0.6</v>
      </c>
      <c r="Q451" s="37">
        <f>VLOOKUP(Table1[[#This Row],[INSTANT]],[1]dataset_2!$A:$D,4,FALSE)</f>
        <v>0.41789999999999999</v>
      </c>
      <c r="R451" s="37">
        <f>VLOOKUP(Table1[[#This Row],[INSTANT]],[1]dataset_2!$A:$G,5,0)</f>
        <v>1</v>
      </c>
      <c r="S451" s="38">
        <f>VLOOKUP(Table1[[#This Row],[INSTANT]],[1]dataset_2!$A:$G,6,0)</f>
        <v>4</v>
      </c>
      <c r="T451" s="38">
        <f>VLOOKUP(Table1[[#This Row],[INSTANT]],[1]dataset_2!$A:$G,7,0)</f>
        <v>5</v>
      </c>
    </row>
    <row r="452" spans="1:20" ht="13" x14ac:dyDescent="0.15">
      <c r="A452" s="35">
        <v>451</v>
      </c>
      <c r="B452" s="27">
        <v>40563</v>
      </c>
      <c r="C452" s="8" t="str">
        <f t="shared" si="14"/>
        <v>2011</v>
      </c>
      <c r="D452" s="8" t="str">
        <f t="shared" si="15"/>
        <v>20</v>
      </c>
      <c r="E452" s="7">
        <v>1</v>
      </c>
      <c r="F452" s="7">
        <v>0</v>
      </c>
      <c r="G452" s="7">
        <v>1</v>
      </c>
      <c r="H452" s="7">
        <v>19</v>
      </c>
      <c r="I452" s="7" t="b">
        <v>0</v>
      </c>
      <c r="J452" s="22">
        <f>--Table1[[#This Row],[HOLIDAY]]</f>
        <v>0</v>
      </c>
      <c r="K452" s="9">
        <v>4</v>
      </c>
      <c r="L452" s="7">
        <v>1</v>
      </c>
      <c r="M452" s="7">
        <f>LEN(TEXT(Table1[[#This Row],[WEATHER]],"0"))</f>
        <v>1</v>
      </c>
      <c r="N452" s="36">
        <v>0.26</v>
      </c>
      <c r="O452" s="37">
        <f>VLOOKUP(Table1[[#This Row],[INSTANT]],[1]dataset_2!$A:$G,2,FALSE)</f>
        <v>0.21210000000000001</v>
      </c>
      <c r="P452" s="37">
        <f>VLOOKUP(Table1[[#This Row],[INSTANT]],[1]dataset_2!$A:$G,3,0)</f>
        <v>0.55000000000000004</v>
      </c>
      <c r="Q452" s="37">
        <f>VLOOKUP(Table1[[#This Row],[INSTANT]],[1]dataset_2!$A:$D,4,FALSE)</f>
        <v>0.25369999999999998</v>
      </c>
      <c r="R452" s="37">
        <f>VLOOKUP(Table1[[#This Row],[INSTANT]],[1]dataset_2!$A:$G,5,0)</f>
        <v>0</v>
      </c>
      <c r="S452" s="38">
        <f>VLOOKUP(Table1[[#This Row],[INSTANT]],[1]dataset_2!$A:$G,6,0)</f>
        <v>27</v>
      </c>
      <c r="T452" s="38">
        <f>VLOOKUP(Table1[[#This Row],[INSTANT]],[1]dataset_2!$A:$G,7,0)</f>
        <v>27</v>
      </c>
    </row>
    <row r="453" spans="1:20" ht="13" x14ac:dyDescent="0.15">
      <c r="A453" s="35">
        <v>452</v>
      </c>
      <c r="B453" s="27">
        <v>40563</v>
      </c>
      <c r="C453" s="8" t="str">
        <f t="shared" si="14"/>
        <v>2011</v>
      </c>
      <c r="D453" s="8" t="str">
        <f t="shared" si="15"/>
        <v>20</v>
      </c>
      <c r="E453" s="7">
        <v>1</v>
      </c>
      <c r="F453" s="7">
        <v>0</v>
      </c>
      <c r="G453" s="7">
        <v>1</v>
      </c>
      <c r="H453" s="7">
        <v>20</v>
      </c>
      <c r="I453" s="7" t="b">
        <v>0</v>
      </c>
      <c r="J453" s="22">
        <f>--Table1[[#This Row],[HOLIDAY]]</f>
        <v>0</v>
      </c>
      <c r="K453" s="9">
        <v>4</v>
      </c>
      <c r="L453" s="7">
        <v>2</v>
      </c>
      <c r="M453" s="7">
        <f>LEN(TEXT(Table1[[#This Row],[WEATHER]],"0"))</f>
        <v>1</v>
      </c>
      <c r="N453" s="36">
        <v>0.26</v>
      </c>
      <c r="O453" s="37">
        <f>VLOOKUP(Table1[[#This Row],[INSTANT]],[1]dataset_2!$A:$G,2,FALSE)</f>
        <v>0.18179999999999999</v>
      </c>
      <c r="P453" s="37">
        <f>VLOOKUP(Table1[[#This Row],[INSTANT]],[1]dataset_2!$A:$G,3,0)</f>
        <v>0.51</v>
      </c>
      <c r="Q453" s="37">
        <f>VLOOKUP(Table1[[#This Row],[INSTANT]],[1]dataset_2!$A:$D,4,FALSE)</f>
        <v>0.28360000000000002</v>
      </c>
      <c r="R453" s="37">
        <f>VLOOKUP(Table1[[#This Row],[INSTANT]],[1]dataset_2!$A:$G,5,0)</f>
        <v>2</v>
      </c>
      <c r="S453" s="38">
        <f>VLOOKUP(Table1[[#This Row],[INSTANT]],[1]dataset_2!$A:$G,6,0)</f>
        <v>66</v>
      </c>
      <c r="T453" s="38">
        <f>VLOOKUP(Table1[[#This Row],[INSTANT]],[1]dataset_2!$A:$G,7,0)</f>
        <v>68</v>
      </c>
    </row>
    <row r="454" spans="1:20" ht="13" x14ac:dyDescent="0.15">
      <c r="A454" s="35">
        <v>453</v>
      </c>
      <c r="B454" s="27">
        <v>40563</v>
      </c>
      <c r="C454" s="8" t="str">
        <f t="shared" si="14"/>
        <v>2011</v>
      </c>
      <c r="D454" s="8" t="str">
        <f t="shared" si="15"/>
        <v>20</v>
      </c>
      <c r="E454" s="7">
        <v>1</v>
      </c>
      <c r="F454" s="7">
        <v>0</v>
      </c>
      <c r="G454" s="7">
        <v>1</v>
      </c>
      <c r="H454" s="7">
        <v>21</v>
      </c>
      <c r="I454" s="7" t="b">
        <v>0</v>
      </c>
      <c r="J454" s="22">
        <f>--Table1[[#This Row],[HOLIDAY]]</f>
        <v>0</v>
      </c>
      <c r="K454" s="9">
        <v>4</v>
      </c>
      <c r="L454" s="7">
        <v>2</v>
      </c>
      <c r="M454" s="7">
        <f>LEN(TEXT(Table1[[#This Row],[WEATHER]],"0"))</f>
        <v>1</v>
      </c>
      <c r="N454" s="36">
        <v>0.24</v>
      </c>
      <c r="O454" s="37">
        <f>VLOOKUP(Table1[[#This Row],[INSTANT]],[1]dataset_2!$A:$G,2,FALSE)</f>
        <v>0.18179999999999999</v>
      </c>
      <c r="P454" s="37">
        <f>VLOOKUP(Table1[[#This Row],[INSTANT]],[1]dataset_2!$A:$G,3,0)</f>
        <v>0.47</v>
      </c>
      <c r="Q454" s="37">
        <f>VLOOKUP(Table1[[#This Row],[INSTANT]],[1]dataset_2!$A:$D,4,FALSE)</f>
        <v>0.32840000000000003</v>
      </c>
      <c r="R454" s="37">
        <f>VLOOKUP(Table1[[#This Row],[INSTANT]],[1]dataset_2!$A:$G,5,0)</f>
        <v>7</v>
      </c>
      <c r="S454" s="38">
        <f>VLOOKUP(Table1[[#This Row],[INSTANT]],[1]dataset_2!$A:$G,6,0)</f>
        <v>210</v>
      </c>
      <c r="T454" s="38">
        <f>VLOOKUP(Table1[[#This Row],[INSTANT]],[1]dataset_2!$A:$G,7,0)</f>
        <v>217</v>
      </c>
    </row>
    <row r="455" spans="1:20" ht="13" x14ac:dyDescent="0.15">
      <c r="A455" s="35">
        <v>454</v>
      </c>
      <c r="B455" s="27">
        <v>40563</v>
      </c>
      <c r="C455" s="8" t="str">
        <f t="shared" si="14"/>
        <v>2011</v>
      </c>
      <c r="D455" s="8" t="str">
        <f t="shared" si="15"/>
        <v>20</v>
      </c>
      <c r="E455" s="7">
        <v>1</v>
      </c>
      <c r="F455" s="7">
        <v>0</v>
      </c>
      <c r="G455" s="7">
        <v>1</v>
      </c>
      <c r="H455" s="7">
        <v>22</v>
      </c>
      <c r="I455" s="7" t="b">
        <v>0</v>
      </c>
      <c r="J455" s="22">
        <f>--Table1[[#This Row],[HOLIDAY]]</f>
        <v>0</v>
      </c>
      <c r="K455" s="9">
        <v>4</v>
      </c>
      <c r="L455" s="7">
        <v>2</v>
      </c>
      <c r="M455" s="7">
        <f>LEN(TEXT(Table1[[#This Row],[WEATHER]],"0"))</f>
        <v>1</v>
      </c>
      <c r="N455" s="36">
        <v>0.24</v>
      </c>
      <c r="O455" s="37">
        <f>VLOOKUP(Table1[[#This Row],[INSTANT]],[1]dataset_2!$A:$G,2,FALSE)</f>
        <v>0.18179999999999999</v>
      </c>
      <c r="P455" s="37">
        <f>VLOOKUP(Table1[[#This Row],[INSTANT]],[1]dataset_2!$A:$G,3,0)</f>
        <v>0.51</v>
      </c>
      <c r="Q455" s="37">
        <f>VLOOKUP(Table1[[#This Row],[INSTANT]],[1]dataset_2!$A:$D,4,FALSE)</f>
        <v>0.35820000000000002</v>
      </c>
      <c r="R455" s="37">
        <f>VLOOKUP(Table1[[#This Row],[INSTANT]],[1]dataset_2!$A:$G,5,0)</f>
        <v>7</v>
      </c>
      <c r="S455" s="38">
        <f>VLOOKUP(Table1[[#This Row],[INSTANT]],[1]dataset_2!$A:$G,6,0)</f>
        <v>159</v>
      </c>
      <c r="T455" s="38">
        <f>VLOOKUP(Table1[[#This Row],[INSTANT]],[1]dataset_2!$A:$G,7,0)</f>
        <v>166</v>
      </c>
    </row>
    <row r="456" spans="1:20" ht="13" x14ac:dyDescent="0.15">
      <c r="A456" s="35">
        <v>455</v>
      </c>
      <c r="B456" s="27">
        <v>40563</v>
      </c>
      <c r="C456" s="8" t="str">
        <f t="shared" si="14"/>
        <v>2011</v>
      </c>
      <c r="D456" s="8" t="str">
        <f t="shared" si="15"/>
        <v>20</v>
      </c>
      <c r="E456" s="7">
        <v>1</v>
      </c>
      <c r="F456" s="7">
        <v>0</v>
      </c>
      <c r="G456" s="7">
        <v>1</v>
      </c>
      <c r="H456" s="7">
        <v>23</v>
      </c>
      <c r="I456" s="7" t="b">
        <v>0</v>
      </c>
      <c r="J456" s="22">
        <f>--Table1[[#This Row],[HOLIDAY]]</f>
        <v>0</v>
      </c>
      <c r="K456" s="9">
        <v>4</v>
      </c>
      <c r="L456" s="7">
        <v>2</v>
      </c>
      <c r="M456" s="7">
        <f>LEN(TEXT(Table1[[#This Row],[WEATHER]],"0"))</f>
        <v>1</v>
      </c>
      <c r="N456" s="36">
        <v>0.24</v>
      </c>
      <c r="O456" s="37">
        <f>VLOOKUP(Table1[[#This Row],[INSTANT]],[1]dataset_2!$A:$G,2,FALSE)</f>
        <v>0.16669999999999999</v>
      </c>
      <c r="P456" s="37">
        <f>VLOOKUP(Table1[[#This Row],[INSTANT]],[1]dataset_2!$A:$G,3,0)</f>
        <v>0.47</v>
      </c>
      <c r="Q456" s="37">
        <f>VLOOKUP(Table1[[#This Row],[INSTANT]],[1]dataset_2!$A:$D,4,FALSE)</f>
        <v>0.4627</v>
      </c>
      <c r="R456" s="37">
        <f>VLOOKUP(Table1[[#This Row],[INSTANT]],[1]dataset_2!$A:$G,5,0)</f>
        <v>6</v>
      </c>
      <c r="S456" s="38">
        <f>VLOOKUP(Table1[[#This Row],[INSTANT]],[1]dataset_2!$A:$G,6,0)</f>
        <v>57</v>
      </c>
      <c r="T456" s="38">
        <f>VLOOKUP(Table1[[#This Row],[INSTANT]],[1]dataset_2!$A:$G,7,0)</f>
        <v>63</v>
      </c>
    </row>
    <row r="457" spans="1:20" ht="13" x14ac:dyDescent="0.15">
      <c r="A457" s="35">
        <v>456</v>
      </c>
      <c r="B457" s="27">
        <v>40564</v>
      </c>
      <c r="C457" s="8" t="str">
        <f t="shared" si="14"/>
        <v>2011</v>
      </c>
      <c r="D457" s="8" t="str">
        <f t="shared" si="15"/>
        <v>21</v>
      </c>
      <c r="E457" s="7">
        <v>1</v>
      </c>
      <c r="F457" s="7">
        <v>0</v>
      </c>
      <c r="G457" s="7">
        <v>1</v>
      </c>
      <c r="H457" s="7">
        <v>0</v>
      </c>
      <c r="I457" s="7" t="b">
        <v>0</v>
      </c>
      <c r="J457" s="22">
        <f>--Table1[[#This Row],[HOLIDAY]]</f>
        <v>0</v>
      </c>
      <c r="K457" s="9">
        <v>5</v>
      </c>
      <c r="L457" s="7">
        <v>2</v>
      </c>
      <c r="M457" s="7">
        <f>LEN(TEXT(Table1[[#This Row],[WEATHER]],"0"))</f>
        <v>1</v>
      </c>
      <c r="N457" s="36">
        <v>0.24</v>
      </c>
      <c r="O457" s="37">
        <f>VLOOKUP(Table1[[#This Row],[INSTANT]],[1]dataset_2!$A:$G,2,FALSE)</f>
        <v>0.18179999999999999</v>
      </c>
      <c r="P457" s="37">
        <f>VLOOKUP(Table1[[#This Row],[INSTANT]],[1]dataset_2!$A:$G,3,0)</f>
        <v>0.41</v>
      </c>
      <c r="Q457" s="37">
        <f>VLOOKUP(Table1[[#This Row],[INSTANT]],[1]dataset_2!$A:$D,4,FALSE)</f>
        <v>0.4627</v>
      </c>
      <c r="R457" s="37">
        <f>VLOOKUP(Table1[[#This Row],[INSTANT]],[1]dataset_2!$A:$G,5,0)</f>
        <v>6</v>
      </c>
      <c r="S457" s="38">
        <f>VLOOKUP(Table1[[#This Row],[INSTANT]],[1]dataset_2!$A:$G,6,0)</f>
        <v>53</v>
      </c>
      <c r="T457" s="38">
        <f>VLOOKUP(Table1[[#This Row],[INSTANT]],[1]dataset_2!$A:$G,7,0)</f>
        <v>59</v>
      </c>
    </row>
    <row r="458" spans="1:20" ht="13" x14ac:dyDescent="0.15">
      <c r="A458" s="35">
        <v>457</v>
      </c>
      <c r="B458" s="27">
        <v>40564</v>
      </c>
      <c r="C458" s="8" t="str">
        <f t="shared" si="14"/>
        <v>2011</v>
      </c>
      <c r="D458" s="8" t="str">
        <f t="shared" si="15"/>
        <v>21</v>
      </c>
      <c r="E458" s="7">
        <v>1</v>
      </c>
      <c r="F458" s="7">
        <v>0</v>
      </c>
      <c r="G458" s="7">
        <v>1</v>
      </c>
      <c r="H458" s="7">
        <v>1</v>
      </c>
      <c r="I458" s="7" t="b">
        <v>0</v>
      </c>
      <c r="J458" s="22">
        <f>--Table1[[#This Row],[HOLIDAY]]</f>
        <v>0</v>
      </c>
      <c r="K458" s="9">
        <v>5</v>
      </c>
      <c r="L458" s="7">
        <v>2</v>
      </c>
      <c r="M458" s="7">
        <f>LEN(TEXT(Table1[[#This Row],[WEATHER]],"0"))</f>
        <v>1</v>
      </c>
      <c r="N458" s="36">
        <v>0.24</v>
      </c>
      <c r="O458" s="37">
        <f>VLOOKUP(Table1[[#This Row],[INSTANT]],[1]dataset_2!$A:$G,2,FALSE)</f>
        <v>0.18179999999999999</v>
      </c>
      <c r="P458" s="37">
        <f>VLOOKUP(Table1[[#This Row],[INSTANT]],[1]dataset_2!$A:$G,3,0)</f>
        <v>0.27</v>
      </c>
      <c r="Q458" s="37">
        <f>VLOOKUP(Table1[[#This Row],[INSTANT]],[1]dataset_2!$A:$D,4,FALSE)</f>
        <v>0.58209999999999995</v>
      </c>
      <c r="R458" s="37">
        <f>VLOOKUP(Table1[[#This Row],[INSTANT]],[1]dataset_2!$A:$G,5,0)</f>
        <v>11</v>
      </c>
      <c r="S458" s="38">
        <f>VLOOKUP(Table1[[#This Row],[INSTANT]],[1]dataset_2!$A:$G,6,0)</f>
        <v>67</v>
      </c>
      <c r="T458" s="38">
        <f>VLOOKUP(Table1[[#This Row],[INSTANT]],[1]dataset_2!$A:$G,7,0)</f>
        <v>78</v>
      </c>
    </row>
    <row r="459" spans="1:20" ht="13" x14ac:dyDescent="0.15">
      <c r="A459" s="35">
        <v>458</v>
      </c>
      <c r="B459" s="27">
        <v>40564</v>
      </c>
      <c r="C459" s="8" t="str">
        <f t="shared" si="14"/>
        <v>2011</v>
      </c>
      <c r="D459" s="8" t="str">
        <f t="shared" si="15"/>
        <v>21</v>
      </c>
      <c r="E459" s="7">
        <v>1</v>
      </c>
      <c r="F459" s="7">
        <v>0</v>
      </c>
      <c r="G459" s="7">
        <v>1</v>
      </c>
      <c r="H459" s="7">
        <v>2</v>
      </c>
      <c r="I459" s="7" t="b">
        <v>0</v>
      </c>
      <c r="J459" s="22">
        <f>--Table1[[#This Row],[HOLIDAY]]</f>
        <v>0</v>
      </c>
      <c r="K459" s="9">
        <v>5</v>
      </c>
      <c r="L459" s="7">
        <v>3</v>
      </c>
      <c r="M459" s="7">
        <f>LEN(TEXT(Table1[[#This Row],[WEATHER]],"0"))</f>
        <v>1</v>
      </c>
      <c r="N459" s="36">
        <v>0.24</v>
      </c>
      <c r="O459" s="37">
        <f>VLOOKUP(Table1[[#This Row],[INSTANT]],[1]dataset_2!$A:$G,2,FALSE)</f>
        <v>0.1515</v>
      </c>
      <c r="P459" s="37">
        <f>VLOOKUP(Table1[[#This Row],[INSTANT]],[1]dataset_2!$A:$G,3,0)</f>
        <v>0.21</v>
      </c>
      <c r="Q459" s="37">
        <f>VLOOKUP(Table1[[#This Row],[INSTANT]],[1]dataset_2!$A:$D,4,FALSE)</f>
        <v>0.58209999999999995</v>
      </c>
      <c r="R459" s="37">
        <f>VLOOKUP(Table1[[#This Row],[INSTANT]],[1]dataset_2!$A:$G,5,0)</f>
        <v>8</v>
      </c>
      <c r="S459" s="38">
        <f>VLOOKUP(Table1[[#This Row],[INSTANT]],[1]dataset_2!$A:$G,6,0)</f>
        <v>65</v>
      </c>
      <c r="T459" s="38">
        <f>VLOOKUP(Table1[[#This Row],[INSTANT]],[1]dataset_2!$A:$G,7,0)</f>
        <v>73</v>
      </c>
    </row>
    <row r="460" spans="1:20" ht="13" x14ac:dyDescent="0.15">
      <c r="A460" s="35">
        <v>459</v>
      </c>
      <c r="B460" s="27">
        <v>40564</v>
      </c>
      <c r="C460" s="8" t="str">
        <f t="shared" si="14"/>
        <v>2011</v>
      </c>
      <c r="D460" s="8" t="str">
        <f t="shared" si="15"/>
        <v>21</v>
      </c>
      <c r="E460" s="7">
        <v>1</v>
      </c>
      <c r="F460" s="7">
        <v>0</v>
      </c>
      <c r="G460" s="7">
        <v>1</v>
      </c>
      <c r="H460" s="7">
        <v>3</v>
      </c>
      <c r="I460" s="7" t="b">
        <v>0</v>
      </c>
      <c r="J460" s="22">
        <f>--Table1[[#This Row],[HOLIDAY]]</f>
        <v>0</v>
      </c>
      <c r="K460" s="9">
        <v>5</v>
      </c>
      <c r="L460" s="7">
        <v>3</v>
      </c>
      <c r="M460" s="7">
        <f>LEN(TEXT(Table1[[#This Row],[WEATHER]],"0"))</f>
        <v>1</v>
      </c>
      <c r="N460" s="36">
        <v>0.22</v>
      </c>
      <c r="O460" s="37">
        <f>VLOOKUP(Table1[[#This Row],[INSTANT]],[1]dataset_2!$A:$G,2,FALSE)</f>
        <v>0.1515</v>
      </c>
      <c r="P460" s="37">
        <f>VLOOKUP(Table1[[#This Row],[INSTANT]],[1]dataset_2!$A:$G,3,0)</f>
        <v>0.25</v>
      </c>
      <c r="Q460" s="37">
        <f>VLOOKUP(Table1[[#This Row],[INSTANT]],[1]dataset_2!$A:$D,4,FALSE)</f>
        <v>0.52239999999999998</v>
      </c>
      <c r="R460" s="37">
        <f>VLOOKUP(Table1[[#This Row],[INSTANT]],[1]dataset_2!$A:$G,5,0)</f>
        <v>6</v>
      </c>
      <c r="S460" s="38">
        <f>VLOOKUP(Table1[[#This Row],[INSTANT]],[1]dataset_2!$A:$G,6,0)</f>
        <v>56</v>
      </c>
      <c r="T460" s="38">
        <f>VLOOKUP(Table1[[#This Row],[INSTANT]],[1]dataset_2!$A:$G,7,0)</f>
        <v>62</v>
      </c>
    </row>
    <row r="461" spans="1:20" ht="13" x14ac:dyDescent="0.15">
      <c r="A461" s="35">
        <v>460</v>
      </c>
      <c r="B461" s="27">
        <v>40564</v>
      </c>
      <c r="C461" s="8" t="str">
        <f t="shared" si="14"/>
        <v>2011</v>
      </c>
      <c r="D461" s="8" t="str">
        <f t="shared" si="15"/>
        <v>21</v>
      </c>
      <c r="E461" s="7">
        <v>1</v>
      </c>
      <c r="F461" s="7">
        <v>0</v>
      </c>
      <c r="G461" s="7">
        <v>1</v>
      </c>
      <c r="H461" s="7">
        <v>4</v>
      </c>
      <c r="I461" s="7" t="b">
        <v>0</v>
      </c>
      <c r="J461" s="22">
        <f>--Table1[[#This Row],[HOLIDAY]]</f>
        <v>0</v>
      </c>
      <c r="K461" s="9">
        <v>5</v>
      </c>
      <c r="L461" s="7">
        <v>2</v>
      </c>
      <c r="M461" s="7">
        <f>LEN(TEXT(Table1[[#This Row],[WEATHER]],"0"))</f>
        <v>1</v>
      </c>
      <c r="N461" s="36">
        <v>0.22</v>
      </c>
      <c r="O461" s="37">
        <f>VLOOKUP(Table1[[#This Row],[INSTANT]],[1]dataset_2!$A:$G,2,FALSE)</f>
        <v>0.1212</v>
      </c>
      <c r="P461" s="37">
        <f>VLOOKUP(Table1[[#This Row],[INSTANT]],[1]dataset_2!$A:$G,3,0)</f>
        <v>0.26</v>
      </c>
      <c r="Q461" s="37">
        <f>VLOOKUP(Table1[[#This Row],[INSTANT]],[1]dataset_2!$A:$D,4,FALSE)</f>
        <v>0.44779999999999998</v>
      </c>
      <c r="R461" s="37">
        <f>VLOOKUP(Table1[[#This Row],[INSTANT]],[1]dataset_2!$A:$G,5,0)</f>
        <v>4</v>
      </c>
      <c r="S461" s="38">
        <f>VLOOKUP(Table1[[#This Row],[INSTANT]],[1]dataset_2!$A:$G,6,0)</f>
        <v>61</v>
      </c>
      <c r="T461" s="38">
        <f>VLOOKUP(Table1[[#This Row],[INSTANT]],[1]dataset_2!$A:$G,7,0)</f>
        <v>65</v>
      </c>
    </row>
    <row r="462" spans="1:20" ht="13" x14ac:dyDescent="0.15">
      <c r="A462" s="35">
        <v>461</v>
      </c>
      <c r="B462" s="27">
        <v>40564</v>
      </c>
      <c r="C462" s="8" t="str">
        <f t="shared" si="14"/>
        <v>2011</v>
      </c>
      <c r="D462" s="8" t="str">
        <f t="shared" si="15"/>
        <v>21</v>
      </c>
      <c r="E462" s="7">
        <v>1</v>
      </c>
      <c r="F462" s="7">
        <v>0</v>
      </c>
      <c r="G462" s="7">
        <v>1</v>
      </c>
      <c r="H462" s="7">
        <v>5</v>
      </c>
      <c r="I462" s="7" t="b">
        <v>0</v>
      </c>
      <c r="J462" s="22">
        <f>--Table1[[#This Row],[HOLIDAY]]</f>
        <v>0</v>
      </c>
      <c r="K462" s="9">
        <v>5</v>
      </c>
      <c r="L462" s="7">
        <v>1</v>
      </c>
      <c r="M462" s="7">
        <f>LEN(TEXT(Table1[[#This Row],[WEATHER]],"0"))</f>
        <v>1</v>
      </c>
      <c r="N462" s="36">
        <v>0.24</v>
      </c>
      <c r="O462" s="37">
        <f>VLOOKUP(Table1[[#This Row],[INSTANT]],[1]dataset_2!$A:$G,2,FALSE)</f>
        <v>0.13639999999999999</v>
      </c>
      <c r="P462" s="37">
        <f>VLOOKUP(Table1[[#This Row],[INSTANT]],[1]dataset_2!$A:$G,3,0)</f>
        <v>0.26</v>
      </c>
      <c r="Q462" s="37">
        <f>VLOOKUP(Table1[[#This Row],[INSTANT]],[1]dataset_2!$A:$D,4,FALSE)</f>
        <v>0.35820000000000002</v>
      </c>
      <c r="R462" s="37">
        <f>VLOOKUP(Table1[[#This Row],[INSTANT]],[1]dataset_2!$A:$G,5,0)</f>
        <v>0</v>
      </c>
      <c r="S462" s="38">
        <f>VLOOKUP(Table1[[#This Row],[INSTANT]],[1]dataset_2!$A:$G,6,0)</f>
        <v>97</v>
      </c>
      <c r="T462" s="38">
        <f>VLOOKUP(Table1[[#This Row],[INSTANT]],[1]dataset_2!$A:$G,7,0)</f>
        <v>97</v>
      </c>
    </row>
    <row r="463" spans="1:20" ht="13" x14ac:dyDescent="0.15">
      <c r="A463" s="35">
        <v>462</v>
      </c>
      <c r="B463" s="27">
        <v>40564</v>
      </c>
      <c r="C463" s="8" t="str">
        <f t="shared" si="14"/>
        <v>2011</v>
      </c>
      <c r="D463" s="8" t="str">
        <f t="shared" si="15"/>
        <v>21</v>
      </c>
      <c r="E463" s="7">
        <v>1</v>
      </c>
      <c r="F463" s="7">
        <v>0</v>
      </c>
      <c r="G463" s="7">
        <v>1</v>
      </c>
      <c r="H463" s="7">
        <v>6</v>
      </c>
      <c r="I463" s="7" t="b">
        <v>0</v>
      </c>
      <c r="J463" s="22">
        <f>--Table1[[#This Row],[HOLIDAY]]</f>
        <v>0</v>
      </c>
      <c r="K463" s="9">
        <v>5</v>
      </c>
      <c r="L463" s="7">
        <v>1</v>
      </c>
      <c r="M463" s="7">
        <f>LEN(TEXT(Table1[[#This Row],[WEATHER]],"0"))</f>
        <v>1</v>
      </c>
      <c r="N463" s="36">
        <v>0.22</v>
      </c>
      <c r="O463" s="37">
        <f>VLOOKUP(Table1[[#This Row],[INSTANT]],[1]dataset_2!$A:$G,2,FALSE)</f>
        <v>0.1212</v>
      </c>
      <c r="P463" s="37">
        <f>VLOOKUP(Table1[[#This Row],[INSTANT]],[1]dataset_2!$A:$G,3,0)</f>
        <v>0.28000000000000003</v>
      </c>
      <c r="Q463" s="37">
        <f>VLOOKUP(Table1[[#This Row],[INSTANT]],[1]dataset_2!$A:$D,4,FALSE)</f>
        <v>0.35820000000000002</v>
      </c>
      <c r="R463" s="37">
        <f>VLOOKUP(Table1[[#This Row],[INSTANT]],[1]dataset_2!$A:$G,5,0)</f>
        <v>10</v>
      </c>
      <c r="S463" s="38">
        <f>VLOOKUP(Table1[[#This Row],[INSTANT]],[1]dataset_2!$A:$G,6,0)</f>
        <v>151</v>
      </c>
      <c r="T463" s="38">
        <f>VLOOKUP(Table1[[#This Row],[INSTANT]],[1]dataset_2!$A:$G,7,0)</f>
        <v>161</v>
      </c>
    </row>
    <row r="464" spans="1:20" ht="13" x14ac:dyDescent="0.15">
      <c r="A464" s="35">
        <v>463</v>
      </c>
      <c r="B464" s="27">
        <v>40564</v>
      </c>
      <c r="C464" s="8" t="str">
        <f t="shared" si="14"/>
        <v>2011</v>
      </c>
      <c r="D464" s="8" t="str">
        <f t="shared" si="15"/>
        <v>21</v>
      </c>
      <c r="E464" s="7">
        <v>1</v>
      </c>
      <c r="F464" s="7">
        <v>0</v>
      </c>
      <c r="G464" s="7">
        <v>1</v>
      </c>
      <c r="H464" s="7">
        <v>7</v>
      </c>
      <c r="I464" s="7" t="b">
        <v>0</v>
      </c>
      <c r="J464" s="22">
        <f>--Table1[[#This Row],[HOLIDAY]]</f>
        <v>0</v>
      </c>
      <c r="K464" s="9">
        <v>5</v>
      </c>
      <c r="L464" s="7">
        <v>1</v>
      </c>
      <c r="M464" s="7">
        <f>LEN(TEXT(Table1[[#This Row],[WEATHER]],"0"))</f>
        <v>1</v>
      </c>
      <c r="N464" s="36">
        <v>0.2</v>
      </c>
      <c r="O464" s="37">
        <f>VLOOKUP(Table1[[#This Row],[INSTANT]],[1]dataset_2!$A:$G,2,FALSE)</f>
        <v>0.1212</v>
      </c>
      <c r="P464" s="37">
        <f>VLOOKUP(Table1[[#This Row],[INSTANT]],[1]dataset_2!$A:$G,3,0)</f>
        <v>0.3</v>
      </c>
      <c r="Q464" s="37">
        <f>VLOOKUP(Table1[[#This Row],[INSTANT]],[1]dataset_2!$A:$D,4,FALSE)</f>
        <v>0.25369999999999998</v>
      </c>
      <c r="R464" s="37">
        <f>VLOOKUP(Table1[[#This Row],[INSTANT]],[1]dataset_2!$A:$G,5,0)</f>
        <v>1</v>
      </c>
      <c r="S464" s="38">
        <f>VLOOKUP(Table1[[#This Row],[INSTANT]],[1]dataset_2!$A:$G,6,0)</f>
        <v>119</v>
      </c>
      <c r="T464" s="38">
        <f>VLOOKUP(Table1[[#This Row],[INSTANT]],[1]dataset_2!$A:$G,7,0)</f>
        <v>120</v>
      </c>
    </row>
    <row r="465" spans="1:20" ht="13" x14ac:dyDescent="0.15">
      <c r="A465" s="35">
        <v>464</v>
      </c>
      <c r="B465" s="27">
        <v>40564</v>
      </c>
      <c r="C465" s="8" t="str">
        <f t="shared" si="14"/>
        <v>2011</v>
      </c>
      <c r="D465" s="8" t="str">
        <f t="shared" si="15"/>
        <v>21</v>
      </c>
      <c r="E465" s="7">
        <v>1</v>
      </c>
      <c r="F465" s="7">
        <v>0</v>
      </c>
      <c r="G465" s="7">
        <v>1</v>
      </c>
      <c r="H465" s="7">
        <v>8</v>
      </c>
      <c r="I465" s="7" t="b">
        <v>0</v>
      </c>
      <c r="J465" s="22">
        <f>--Table1[[#This Row],[HOLIDAY]]</f>
        <v>0</v>
      </c>
      <c r="K465" s="9">
        <v>5</v>
      </c>
      <c r="L465" s="7">
        <v>1</v>
      </c>
      <c r="M465" s="7">
        <f>LEN(TEXT(Table1[[#This Row],[WEATHER]],"0"))</f>
        <v>1</v>
      </c>
      <c r="N465" s="36">
        <v>0.2</v>
      </c>
      <c r="O465" s="37">
        <f>VLOOKUP(Table1[[#This Row],[INSTANT]],[1]dataset_2!$A:$G,2,FALSE)</f>
        <v>0.1061</v>
      </c>
      <c r="P465" s="37">
        <f>VLOOKUP(Table1[[#This Row],[INSTANT]],[1]dataset_2!$A:$G,3,0)</f>
        <v>0.3</v>
      </c>
      <c r="Q465" s="37">
        <f>VLOOKUP(Table1[[#This Row],[INSTANT]],[1]dataset_2!$A:$D,4,FALSE)</f>
        <v>0.32840000000000003</v>
      </c>
      <c r="R465" s="37">
        <f>VLOOKUP(Table1[[#This Row],[INSTANT]],[1]dataset_2!$A:$G,5,0)</f>
        <v>3</v>
      </c>
      <c r="S465" s="38">
        <f>VLOOKUP(Table1[[#This Row],[INSTANT]],[1]dataset_2!$A:$G,6,0)</f>
        <v>93</v>
      </c>
      <c r="T465" s="38">
        <f>VLOOKUP(Table1[[#This Row],[INSTANT]],[1]dataset_2!$A:$G,7,0)</f>
        <v>96</v>
      </c>
    </row>
    <row r="466" spans="1:20" ht="13" x14ac:dyDescent="0.15">
      <c r="A466" s="35">
        <v>465</v>
      </c>
      <c r="B466" s="27">
        <v>40564</v>
      </c>
      <c r="C466" s="8" t="str">
        <f t="shared" si="14"/>
        <v>2011</v>
      </c>
      <c r="D466" s="8" t="str">
        <f t="shared" si="15"/>
        <v>21</v>
      </c>
      <c r="E466" s="7">
        <v>1</v>
      </c>
      <c r="F466" s="7">
        <v>0</v>
      </c>
      <c r="G466" s="7">
        <v>1</v>
      </c>
      <c r="H466" s="7">
        <v>9</v>
      </c>
      <c r="I466" s="7" t="b">
        <v>0</v>
      </c>
      <c r="J466" s="22">
        <f>--Table1[[#This Row],[HOLIDAY]]</f>
        <v>0</v>
      </c>
      <c r="K466" s="9">
        <v>5</v>
      </c>
      <c r="L466" s="7">
        <v>1</v>
      </c>
      <c r="M466" s="7">
        <f>LEN(TEXT(Table1[[#This Row],[WEATHER]],"0"))</f>
        <v>1</v>
      </c>
      <c r="N466" s="36">
        <v>0.2</v>
      </c>
      <c r="O466" s="37">
        <f>VLOOKUP(Table1[[#This Row],[INSTANT]],[1]dataset_2!$A:$G,2,FALSE)</f>
        <v>7.5800000000000006E-2</v>
      </c>
      <c r="P466" s="37">
        <f>VLOOKUP(Table1[[#This Row],[INSTANT]],[1]dataset_2!$A:$G,3,0)</f>
        <v>0.33</v>
      </c>
      <c r="Q466" s="37">
        <f>VLOOKUP(Table1[[#This Row],[INSTANT]],[1]dataset_2!$A:$D,4,FALSE)</f>
        <v>0.41789999999999999</v>
      </c>
      <c r="R466" s="37">
        <f>VLOOKUP(Table1[[#This Row],[INSTANT]],[1]dataset_2!$A:$G,5,0)</f>
        <v>1</v>
      </c>
      <c r="S466" s="38">
        <f>VLOOKUP(Table1[[#This Row],[INSTANT]],[1]dataset_2!$A:$G,6,0)</f>
        <v>52</v>
      </c>
      <c r="T466" s="38">
        <f>VLOOKUP(Table1[[#This Row],[INSTANT]],[1]dataset_2!$A:$G,7,0)</f>
        <v>53</v>
      </c>
    </row>
    <row r="467" spans="1:20" ht="13" x14ac:dyDescent="0.15">
      <c r="A467" s="35">
        <v>466</v>
      </c>
      <c r="B467" s="27">
        <v>40564</v>
      </c>
      <c r="C467" s="8" t="str">
        <f t="shared" si="14"/>
        <v>2011</v>
      </c>
      <c r="D467" s="8" t="str">
        <f t="shared" si="15"/>
        <v>21</v>
      </c>
      <c r="E467" s="7">
        <v>1</v>
      </c>
      <c r="F467" s="7">
        <v>0</v>
      </c>
      <c r="G467" s="7">
        <v>1</v>
      </c>
      <c r="H467" s="7">
        <v>10</v>
      </c>
      <c r="I467" s="7" t="b">
        <v>0</v>
      </c>
      <c r="J467" s="22">
        <f>--Table1[[#This Row],[HOLIDAY]]</f>
        <v>0</v>
      </c>
      <c r="K467" s="9">
        <v>5</v>
      </c>
      <c r="L467" s="7">
        <v>1</v>
      </c>
      <c r="M467" s="7">
        <f>LEN(TEXT(Table1[[#This Row],[WEATHER]],"0"))</f>
        <v>1</v>
      </c>
      <c r="N467" s="36">
        <v>0.2</v>
      </c>
      <c r="O467" s="37">
        <f>VLOOKUP(Table1[[#This Row],[INSTANT]],[1]dataset_2!$A:$G,2,FALSE)</f>
        <v>7.5800000000000006E-2</v>
      </c>
      <c r="P467" s="37">
        <f>VLOOKUP(Table1[[#This Row],[INSTANT]],[1]dataset_2!$A:$G,3,0)</f>
        <v>0.38</v>
      </c>
      <c r="Q467" s="37">
        <f>VLOOKUP(Table1[[#This Row],[INSTANT]],[1]dataset_2!$A:$D,4,FALSE)</f>
        <v>0.28360000000000002</v>
      </c>
      <c r="R467" s="37">
        <f>VLOOKUP(Table1[[#This Row],[INSTANT]],[1]dataset_2!$A:$G,5,0)</f>
        <v>0</v>
      </c>
      <c r="S467" s="38">
        <f>VLOOKUP(Table1[[#This Row],[INSTANT]],[1]dataset_2!$A:$G,6,0)</f>
        <v>41</v>
      </c>
      <c r="T467" s="38">
        <f>VLOOKUP(Table1[[#This Row],[INSTANT]],[1]dataset_2!$A:$G,7,0)</f>
        <v>41</v>
      </c>
    </row>
    <row r="468" spans="1:20" ht="13" x14ac:dyDescent="0.15">
      <c r="A468" s="35">
        <v>467</v>
      </c>
      <c r="B468" s="27">
        <v>40564</v>
      </c>
      <c r="C468" s="8" t="str">
        <f t="shared" si="14"/>
        <v>2011</v>
      </c>
      <c r="D468" s="8" t="str">
        <f t="shared" si="15"/>
        <v>21</v>
      </c>
      <c r="E468" s="7">
        <v>1</v>
      </c>
      <c r="F468" s="7">
        <v>0</v>
      </c>
      <c r="G468" s="7">
        <v>1</v>
      </c>
      <c r="H468" s="7">
        <v>11</v>
      </c>
      <c r="I468" s="7" t="b">
        <v>0</v>
      </c>
      <c r="J468" s="22">
        <f>--Table1[[#This Row],[HOLIDAY]]</f>
        <v>0</v>
      </c>
      <c r="K468" s="9">
        <v>5</v>
      </c>
      <c r="L468" s="7">
        <v>1</v>
      </c>
      <c r="M468" s="7">
        <f>LEN(TEXT(Table1[[#This Row],[WEATHER]],"0"))</f>
        <v>1</v>
      </c>
      <c r="N468" s="36">
        <v>0.22</v>
      </c>
      <c r="O468" s="37">
        <f>VLOOKUP(Table1[[#This Row],[INSTANT]],[1]dataset_2!$A:$G,2,FALSE)</f>
        <v>3.0300000000000001E-2</v>
      </c>
      <c r="P468" s="37">
        <f>VLOOKUP(Table1[[#This Row],[INSTANT]],[1]dataset_2!$A:$G,3,0)</f>
        <v>0.41</v>
      </c>
      <c r="Q468" s="37">
        <f>VLOOKUP(Table1[[#This Row],[INSTANT]],[1]dataset_2!$A:$D,4,FALSE)</f>
        <v>0.3881</v>
      </c>
      <c r="R468" s="37">
        <f>VLOOKUP(Table1[[#This Row],[INSTANT]],[1]dataset_2!$A:$G,5,0)</f>
        <v>1</v>
      </c>
      <c r="S468" s="38">
        <f>VLOOKUP(Table1[[#This Row],[INSTANT]],[1]dataset_2!$A:$G,6,0)</f>
        <v>33</v>
      </c>
      <c r="T468" s="38">
        <f>VLOOKUP(Table1[[#This Row],[INSTANT]],[1]dataset_2!$A:$G,7,0)</f>
        <v>34</v>
      </c>
    </row>
    <row r="469" spans="1:20" ht="13" x14ac:dyDescent="0.15">
      <c r="A469" s="35">
        <v>468</v>
      </c>
      <c r="B469" s="27">
        <v>40564</v>
      </c>
      <c r="C469" s="8" t="str">
        <f t="shared" si="14"/>
        <v>2011</v>
      </c>
      <c r="D469" s="8" t="str">
        <f t="shared" si="15"/>
        <v>21</v>
      </c>
      <c r="E469" s="7">
        <v>1</v>
      </c>
      <c r="F469" s="7">
        <v>0</v>
      </c>
      <c r="G469" s="7">
        <v>1</v>
      </c>
      <c r="H469" s="7">
        <v>12</v>
      </c>
      <c r="I469" s="7" t="b">
        <v>0</v>
      </c>
      <c r="J469" s="22">
        <f>--Table1[[#This Row],[HOLIDAY]]</f>
        <v>0</v>
      </c>
      <c r="K469" s="9">
        <v>5</v>
      </c>
      <c r="L469" s="7">
        <v>1</v>
      </c>
      <c r="M469" s="7">
        <f>LEN(TEXT(Table1[[#This Row],[WEATHER]],"0"))</f>
        <v>1</v>
      </c>
      <c r="N469" s="36">
        <v>0.22</v>
      </c>
      <c r="O469" s="37">
        <f>VLOOKUP(Table1[[#This Row],[INSTANT]],[1]dataset_2!$A:$G,2,FALSE)</f>
        <v>4.5499999999999999E-2</v>
      </c>
      <c r="P469" s="37">
        <f>VLOOKUP(Table1[[#This Row],[INSTANT]],[1]dataset_2!$A:$G,3,0)</f>
        <v>0.38</v>
      </c>
      <c r="Q469" s="37">
        <f>VLOOKUP(Table1[[#This Row],[INSTANT]],[1]dataset_2!$A:$D,4,FALSE)</f>
        <v>0.32840000000000003</v>
      </c>
      <c r="R469" s="37">
        <f>VLOOKUP(Table1[[#This Row],[INSTANT]],[1]dataset_2!$A:$G,5,0)</f>
        <v>0</v>
      </c>
      <c r="S469" s="38">
        <f>VLOOKUP(Table1[[#This Row],[INSTANT]],[1]dataset_2!$A:$G,6,0)</f>
        <v>27</v>
      </c>
      <c r="T469" s="38">
        <f>VLOOKUP(Table1[[#This Row],[INSTANT]],[1]dataset_2!$A:$G,7,0)</f>
        <v>27</v>
      </c>
    </row>
    <row r="470" spans="1:20" ht="13" x14ac:dyDescent="0.15">
      <c r="A470" s="35">
        <v>469</v>
      </c>
      <c r="B470" s="27">
        <v>40564</v>
      </c>
      <c r="C470" s="8" t="str">
        <f t="shared" si="14"/>
        <v>2011</v>
      </c>
      <c r="D470" s="8" t="str">
        <f t="shared" si="15"/>
        <v>21</v>
      </c>
      <c r="E470" s="7">
        <v>1</v>
      </c>
      <c r="F470" s="7">
        <v>0</v>
      </c>
      <c r="G470" s="7">
        <v>1</v>
      </c>
      <c r="H470" s="7">
        <v>13</v>
      </c>
      <c r="I470" s="7" t="b">
        <v>0</v>
      </c>
      <c r="J470" s="22">
        <f>--Table1[[#This Row],[HOLIDAY]]</f>
        <v>0</v>
      </c>
      <c r="K470" s="9">
        <v>5</v>
      </c>
      <c r="L470" s="7">
        <v>1</v>
      </c>
      <c r="M470" s="7">
        <f>LEN(TEXT(Table1[[#This Row],[WEATHER]],"0"))</f>
        <v>1</v>
      </c>
      <c r="N470" s="36">
        <v>0.2</v>
      </c>
      <c r="O470" s="37">
        <f>VLOOKUP(Table1[[#This Row],[INSTANT]],[1]dataset_2!$A:$G,2,FALSE)</f>
        <v>3.0300000000000001E-2</v>
      </c>
      <c r="P470" s="37">
        <f>VLOOKUP(Table1[[#This Row],[INSTANT]],[1]dataset_2!$A:$G,3,0)</f>
        <v>0.45</v>
      </c>
      <c r="Q470" s="37">
        <f>VLOOKUP(Table1[[#This Row],[INSTANT]],[1]dataset_2!$A:$D,4,FALSE)</f>
        <v>0.25369999999999998</v>
      </c>
      <c r="R470" s="37">
        <f>VLOOKUP(Table1[[#This Row],[INSTANT]],[1]dataset_2!$A:$G,5,0)</f>
        <v>0</v>
      </c>
      <c r="S470" s="38">
        <f>VLOOKUP(Table1[[#This Row],[INSTANT]],[1]dataset_2!$A:$G,6,0)</f>
        <v>13</v>
      </c>
      <c r="T470" s="38">
        <f>VLOOKUP(Table1[[#This Row],[INSTANT]],[1]dataset_2!$A:$G,7,0)</f>
        <v>13</v>
      </c>
    </row>
    <row r="471" spans="1:20" ht="13" x14ac:dyDescent="0.15">
      <c r="A471" s="35">
        <v>470</v>
      </c>
      <c r="B471" s="27">
        <v>40564</v>
      </c>
      <c r="C471" s="8" t="str">
        <f t="shared" si="14"/>
        <v>2011</v>
      </c>
      <c r="D471" s="8" t="str">
        <f t="shared" si="15"/>
        <v>21</v>
      </c>
      <c r="E471" s="7">
        <v>1</v>
      </c>
      <c r="F471" s="7">
        <v>0</v>
      </c>
      <c r="G471" s="7">
        <v>1</v>
      </c>
      <c r="H471" s="7">
        <v>14</v>
      </c>
      <c r="I471" s="7" t="b">
        <v>0</v>
      </c>
      <c r="J471" s="22">
        <f>--Table1[[#This Row],[HOLIDAY]]</f>
        <v>0</v>
      </c>
      <c r="K471" s="9">
        <v>5</v>
      </c>
      <c r="L471" s="7">
        <v>1</v>
      </c>
      <c r="M471" s="7">
        <f>LEN(TEXT(Table1[[#This Row],[WEATHER]],"0"))</f>
        <v>1</v>
      </c>
      <c r="N471" s="36">
        <v>0.2</v>
      </c>
      <c r="O471" s="37">
        <f>VLOOKUP(Table1[[#This Row],[INSTANT]],[1]dataset_2!$A:$G,2,FALSE)</f>
        <v>0</v>
      </c>
      <c r="P471" s="37">
        <f>VLOOKUP(Table1[[#This Row],[INSTANT]],[1]dataset_2!$A:$G,3,0)</f>
        <v>0.41</v>
      </c>
      <c r="Q471" s="37">
        <f>VLOOKUP(Table1[[#This Row],[INSTANT]],[1]dataset_2!$A:$D,4,FALSE)</f>
        <v>0.3881</v>
      </c>
      <c r="R471" s="37">
        <f>VLOOKUP(Table1[[#This Row],[INSTANT]],[1]dataset_2!$A:$G,5,0)</f>
        <v>3</v>
      </c>
      <c r="S471" s="38">
        <f>VLOOKUP(Table1[[#This Row],[INSTANT]],[1]dataset_2!$A:$G,6,0)</f>
        <v>9</v>
      </c>
      <c r="T471" s="38">
        <f>VLOOKUP(Table1[[#This Row],[INSTANT]],[1]dataset_2!$A:$G,7,0)</f>
        <v>12</v>
      </c>
    </row>
    <row r="472" spans="1:20" ht="13" x14ac:dyDescent="0.15">
      <c r="A472" s="35">
        <v>471</v>
      </c>
      <c r="B472" s="27">
        <v>40564</v>
      </c>
      <c r="C472" s="8" t="str">
        <f t="shared" si="14"/>
        <v>2011</v>
      </c>
      <c r="D472" s="8" t="str">
        <f t="shared" si="15"/>
        <v>21</v>
      </c>
      <c r="E472" s="7">
        <v>1</v>
      </c>
      <c r="F472" s="7">
        <v>0</v>
      </c>
      <c r="G472" s="7">
        <v>1</v>
      </c>
      <c r="H472" s="7">
        <v>15</v>
      </c>
      <c r="I472" s="7" t="b">
        <v>0</v>
      </c>
      <c r="J472" s="22">
        <f>--Table1[[#This Row],[HOLIDAY]]</f>
        <v>0</v>
      </c>
      <c r="K472" s="9">
        <v>5</v>
      </c>
      <c r="L472" s="7">
        <v>1</v>
      </c>
      <c r="M472" s="7">
        <f>LEN(TEXT(Table1[[#This Row],[WEATHER]],"0"))</f>
        <v>1</v>
      </c>
      <c r="N472" s="36">
        <v>0.16</v>
      </c>
      <c r="O472" s="37">
        <f>VLOOKUP(Table1[[#This Row],[INSTANT]],[1]dataset_2!$A:$G,2,FALSE)</f>
        <v>3.0300000000000001E-2</v>
      </c>
      <c r="P472" s="37">
        <f>VLOOKUP(Table1[[#This Row],[INSTANT]],[1]dataset_2!$A:$G,3,0)</f>
        <v>0.41</v>
      </c>
      <c r="Q472" s="37">
        <f>VLOOKUP(Table1[[#This Row],[INSTANT]],[1]dataset_2!$A:$D,4,FALSE)</f>
        <v>0.25369999999999998</v>
      </c>
      <c r="R472" s="37">
        <f>VLOOKUP(Table1[[#This Row],[INSTANT]],[1]dataset_2!$A:$G,5,0)</f>
        <v>0</v>
      </c>
      <c r="S472" s="38">
        <f>VLOOKUP(Table1[[#This Row],[INSTANT]],[1]dataset_2!$A:$G,6,0)</f>
        <v>11</v>
      </c>
      <c r="T472" s="38">
        <f>VLOOKUP(Table1[[#This Row],[INSTANT]],[1]dataset_2!$A:$G,7,0)</f>
        <v>11</v>
      </c>
    </row>
    <row r="473" spans="1:20" ht="13" x14ac:dyDescent="0.15">
      <c r="A473" s="35">
        <v>472</v>
      </c>
      <c r="B473" s="27">
        <v>40564</v>
      </c>
      <c r="C473" s="8" t="str">
        <f t="shared" si="14"/>
        <v>2011</v>
      </c>
      <c r="D473" s="8" t="str">
        <f t="shared" si="15"/>
        <v>21</v>
      </c>
      <c r="E473" s="7">
        <v>1</v>
      </c>
      <c r="F473" s="7">
        <v>0</v>
      </c>
      <c r="G473" s="7">
        <v>1</v>
      </c>
      <c r="H473" s="7">
        <v>16</v>
      </c>
      <c r="I473" s="7" t="b">
        <v>0</v>
      </c>
      <c r="J473" s="22">
        <f>--Table1[[#This Row],[HOLIDAY]]</f>
        <v>0</v>
      </c>
      <c r="K473" s="9">
        <v>5</v>
      </c>
      <c r="L473" s="7">
        <v>1</v>
      </c>
      <c r="M473" s="7">
        <f>LEN(TEXT(Table1[[#This Row],[WEATHER]],"0"))</f>
        <v>1</v>
      </c>
      <c r="N473" s="36">
        <v>0.16</v>
      </c>
      <c r="O473" s="37">
        <f>VLOOKUP(Table1[[#This Row],[INSTANT]],[1]dataset_2!$A:$G,2,FALSE)</f>
        <v>3.0300000000000001E-2</v>
      </c>
      <c r="P473" s="37">
        <f>VLOOKUP(Table1[[#This Row],[INSTANT]],[1]dataset_2!$A:$G,3,0)</f>
        <v>0.41</v>
      </c>
      <c r="Q473" s="37">
        <f>VLOOKUP(Table1[[#This Row],[INSTANT]],[1]dataset_2!$A:$D,4,FALSE)</f>
        <v>0.28360000000000002</v>
      </c>
      <c r="R473" s="37">
        <f>VLOOKUP(Table1[[#This Row],[INSTANT]],[1]dataset_2!$A:$G,5,0)</f>
        <v>1</v>
      </c>
      <c r="S473" s="38">
        <f>VLOOKUP(Table1[[#This Row],[INSTANT]],[1]dataset_2!$A:$G,6,0)</f>
        <v>6</v>
      </c>
      <c r="T473" s="38">
        <f>VLOOKUP(Table1[[#This Row],[INSTANT]],[1]dataset_2!$A:$G,7,0)</f>
        <v>7</v>
      </c>
    </row>
    <row r="474" spans="1:20" ht="13" x14ac:dyDescent="0.15">
      <c r="A474" s="35">
        <v>473</v>
      </c>
      <c r="B474" s="27">
        <v>40564</v>
      </c>
      <c r="C474" s="8" t="str">
        <f t="shared" si="14"/>
        <v>2011</v>
      </c>
      <c r="D474" s="8" t="str">
        <f t="shared" si="15"/>
        <v>21</v>
      </c>
      <c r="E474" s="7">
        <v>1</v>
      </c>
      <c r="F474" s="7">
        <v>0</v>
      </c>
      <c r="G474" s="7">
        <v>1</v>
      </c>
      <c r="H474" s="7">
        <v>17</v>
      </c>
      <c r="I474" s="7" t="b">
        <v>0</v>
      </c>
      <c r="J474" s="22">
        <f>--Table1[[#This Row],[HOLIDAY]]</f>
        <v>0</v>
      </c>
      <c r="K474" s="9">
        <v>5</v>
      </c>
      <c r="L474" s="7">
        <v>1</v>
      </c>
      <c r="M474" s="7">
        <f>LEN(TEXT(Table1[[#This Row],[WEATHER]],"0"))</f>
        <v>1</v>
      </c>
      <c r="N474" s="36">
        <v>0.14000000000000001</v>
      </c>
      <c r="O474" s="37">
        <f>VLOOKUP(Table1[[#This Row],[INSTANT]],[1]dataset_2!$A:$G,2,FALSE)</f>
        <v>1.52E-2</v>
      </c>
      <c r="P474" s="37">
        <f>VLOOKUP(Table1[[#This Row],[INSTANT]],[1]dataset_2!$A:$G,3,0)</f>
        <v>0.48</v>
      </c>
      <c r="Q474" s="37">
        <f>VLOOKUP(Table1[[#This Row],[INSTANT]],[1]dataset_2!$A:$D,4,FALSE)</f>
        <v>0.29849999999999999</v>
      </c>
      <c r="R474" s="37">
        <f>VLOOKUP(Table1[[#This Row],[INSTANT]],[1]dataset_2!$A:$G,5,0)</f>
        <v>0</v>
      </c>
      <c r="S474" s="38">
        <f>VLOOKUP(Table1[[#This Row],[INSTANT]],[1]dataset_2!$A:$G,6,0)</f>
        <v>3</v>
      </c>
      <c r="T474" s="38">
        <f>VLOOKUP(Table1[[#This Row],[INSTANT]],[1]dataset_2!$A:$G,7,0)</f>
        <v>3</v>
      </c>
    </row>
    <row r="475" spans="1:20" ht="13" x14ac:dyDescent="0.15">
      <c r="A475" s="35">
        <v>474</v>
      </c>
      <c r="B475" s="27">
        <v>40564</v>
      </c>
      <c r="C475" s="8" t="str">
        <f t="shared" si="14"/>
        <v>2011</v>
      </c>
      <c r="D475" s="8" t="str">
        <f t="shared" si="15"/>
        <v>21</v>
      </c>
      <c r="E475" s="7">
        <v>1</v>
      </c>
      <c r="F475" s="7">
        <v>0</v>
      </c>
      <c r="G475" s="7">
        <v>1</v>
      </c>
      <c r="H475" s="7">
        <v>18</v>
      </c>
      <c r="I475" s="7" t="b">
        <v>0</v>
      </c>
      <c r="J475" s="22">
        <f>--Table1[[#This Row],[HOLIDAY]]</f>
        <v>0</v>
      </c>
      <c r="K475" s="9">
        <v>5</v>
      </c>
      <c r="L475" s="7">
        <v>1</v>
      </c>
      <c r="M475" s="7">
        <f>LEN(TEXT(Table1[[#This Row],[WEATHER]],"0"))</f>
        <v>1</v>
      </c>
      <c r="N475" s="36">
        <v>0.12</v>
      </c>
      <c r="O475" s="37">
        <f>VLOOKUP(Table1[[#This Row],[INSTANT]],[1]dataset_2!$A:$G,2,FALSE)</f>
        <v>3.0300000000000001E-2</v>
      </c>
      <c r="P475" s="37">
        <f>VLOOKUP(Table1[[#This Row],[INSTANT]],[1]dataset_2!$A:$G,3,0)</f>
        <v>0.44</v>
      </c>
      <c r="Q475" s="37">
        <f>VLOOKUP(Table1[[#This Row],[INSTANT]],[1]dataset_2!$A:$D,4,FALSE)</f>
        <v>0.22389999999999999</v>
      </c>
      <c r="R475" s="37">
        <f>VLOOKUP(Table1[[#This Row],[INSTANT]],[1]dataset_2!$A:$G,5,0)</f>
        <v>0</v>
      </c>
      <c r="S475" s="38">
        <f>VLOOKUP(Table1[[#This Row],[INSTANT]],[1]dataset_2!$A:$G,6,0)</f>
        <v>2</v>
      </c>
      <c r="T475" s="38">
        <f>VLOOKUP(Table1[[#This Row],[INSTANT]],[1]dataset_2!$A:$G,7,0)</f>
        <v>2</v>
      </c>
    </row>
    <row r="476" spans="1:20" ht="13" x14ac:dyDescent="0.15">
      <c r="A476" s="35">
        <v>475</v>
      </c>
      <c r="B476" s="27">
        <v>40564</v>
      </c>
      <c r="C476" s="8" t="str">
        <f t="shared" si="14"/>
        <v>2011</v>
      </c>
      <c r="D476" s="8" t="str">
        <f t="shared" si="15"/>
        <v>21</v>
      </c>
      <c r="E476" s="7">
        <v>1</v>
      </c>
      <c r="F476" s="7">
        <v>0</v>
      </c>
      <c r="G476" s="7">
        <v>1</v>
      </c>
      <c r="H476" s="7">
        <v>19</v>
      </c>
      <c r="I476" s="7" t="b">
        <v>0</v>
      </c>
      <c r="J476" s="22">
        <f>--Table1[[#This Row],[HOLIDAY]]</f>
        <v>0</v>
      </c>
      <c r="K476" s="9">
        <v>5</v>
      </c>
      <c r="L476" s="7">
        <v>1</v>
      </c>
      <c r="M476" s="7">
        <f>LEN(TEXT(Table1[[#This Row],[WEATHER]],"0"))</f>
        <v>1</v>
      </c>
      <c r="N476" s="36">
        <v>0.12</v>
      </c>
      <c r="O476" s="37">
        <f>VLOOKUP(Table1[[#This Row],[INSTANT]],[1]dataset_2!$A:$G,2,FALSE)</f>
        <v>1.52E-2</v>
      </c>
      <c r="P476" s="37">
        <f>VLOOKUP(Table1[[#This Row],[INSTANT]],[1]dataset_2!$A:$G,3,0)</f>
        <v>0.44</v>
      </c>
      <c r="Q476" s="37">
        <f>VLOOKUP(Table1[[#This Row],[INSTANT]],[1]dataset_2!$A:$D,4,FALSE)</f>
        <v>0.28360000000000002</v>
      </c>
      <c r="R476" s="37">
        <f>VLOOKUP(Table1[[#This Row],[INSTANT]],[1]dataset_2!$A:$G,5,0)</f>
        <v>0</v>
      </c>
      <c r="S476" s="38">
        <f>VLOOKUP(Table1[[#This Row],[INSTANT]],[1]dataset_2!$A:$G,6,0)</f>
        <v>8</v>
      </c>
      <c r="T476" s="38">
        <f>VLOOKUP(Table1[[#This Row],[INSTANT]],[1]dataset_2!$A:$G,7,0)</f>
        <v>8</v>
      </c>
    </row>
    <row r="477" spans="1:20" ht="13" x14ac:dyDescent="0.15">
      <c r="A477" s="35">
        <v>476</v>
      </c>
      <c r="B477" s="27">
        <v>40564</v>
      </c>
      <c r="C477" s="8" t="str">
        <f t="shared" si="14"/>
        <v>2011</v>
      </c>
      <c r="D477" s="8" t="str">
        <f t="shared" si="15"/>
        <v>21</v>
      </c>
      <c r="E477" s="7">
        <v>1</v>
      </c>
      <c r="F477" s="7">
        <v>0</v>
      </c>
      <c r="G477" s="7">
        <v>1</v>
      </c>
      <c r="H477" s="7">
        <v>20</v>
      </c>
      <c r="I477" s="7" t="b">
        <v>0</v>
      </c>
      <c r="J477" s="22">
        <f>--Table1[[#This Row],[HOLIDAY]]</f>
        <v>0</v>
      </c>
      <c r="K477" s="9">
        <v>5</v>
      </c>
      <c r="L477" s="7">
        <v>1</v>
      </c>
      <c r="M477" s="7">
        <f>LEN(TEXT(Table1[[#This Row],[WEATHER]],"0"))</f>
        <v>1</v>
      </c>
      <c r="N477" s="36">
        <v>0.1</v>
      </c>
      <c r="O477" s="37">
        <f>VLOOKUP(Table1[[#This Row],[INSTANT]],[1]dataset_2!$A:$G,2,FALSE)</f>
        <v>0</v>
      </c>
      <c r="P477" s="37">
        <f>VLOOKUP(Table1[[#This Row],[INSTANT]],[1]dataset_2!$A:$G,3,0)</f>
        <v>0.44</v>
      </c>
      <c r="Q477" s="37">
        <f>VLOOKUP(Table1[[#This Row],[INSTANT]],[1]dataset_2!$A:$D,4,FALSE)</f>
        <v>0.32840000000000003</v>
      </c>
      <c r="R477" s="37">
        <f>VLOOKUP(Table1[[#This Row],[INSTANT]],[1]dataset_2!$A:$G,5,0)</f>
        <v>1</v>
      </c>
      <c r="S477" s="38">
        <f>VLOOKUP(Table1[[#This Row],[INSTANT]],[1]dataset_2!$A:$G,6,0)</f>
        <v>26</v>
      </c>
      <c r="T477" s="38">
        <f>VLOOKUP(Table1[[#This Row],[INSTANT]],[1]dataset_2!$A:$G,7,0)</f>
        <v>27</v>
      </c>
    </row>
    <row r="478" spans="1:20" ht="13" x14ac:dyDescent="0.15">
      <c r="A478" s="35">
        <v>477</v>
      </c>
      <c r="B478" s="27">
        <v>40564</v>
      </c>
      <c r="C478" s="8" t="str">
        <f t="shared" si="14"/>
        <v>2011</v>
      </c>
      <c r="D478" s="8" t="str">
        <f t="shared" si="15"/>
        <v>21</v>
      </c>
      <c r="E478" s="7">
        <v>1</v>
      </c>
      <c r="F478" s="7">
        <v>0</v>
      </c>
      <c r="G478" s="7">
        <v>1</v>
      </c>
      <c r="H478" s="7">
        <v>21</v>
      </c>
      <c r="I478" s="7" t="b">
        <v>0</v>
      </c>
      <c r="J478" s="22">
        <f>--Table1[[#This Row],[HOLIDAY]]</f>
        <v>0</v>
      </c>
      <c r="K478" s="9">
        <v>5</v>
      </c>
      <c r="L478" s="7">
        <v>1</v>
      </c>
      <c r="M478" s="7">
        <f>LEN(TEXT(Table1[[#This Row],[WEATHER]],"0"))</f>
        <v>1</v>
      </c>
      <c r="N478" s="36">
        <v>0.08</v>
      </c>
      <c r="O478" s="37">
        <f>VLOOKUP(Table1[[#This Row],[INSTANT]],[1]dataset_2!$A:$G,2,FALSE)</f>
        <v>3.0300000000000001E-2</v>
      </c>
      <c r="P478" s="37">
        <f>VLOOKUP(Table1[[#This Row],[INSTANT]],[1]dataset_2!$A:$G,3,0)</f>
        <v>0.41</v>
      </c>
      <c r="Q478" s="37">
        <f>VLOOKUP(Table1[[#This Row],[INSTANT]],[1]dataset_2!$A:$D,4,FALSE)</f>
        <v>0.25369999999999998</v>
      </c>
      <c r="R478" s="37">
        <f>VLOOKUP(Table1[[#This Row],[INSTANT]],[1]dataset_2!$A:$G,5,0)</f>
        <v>3</v>
      </c>
      <c r="S478" s="38">
        <f>VLOOKUP(Table1[[#This Row],[INSTANT]],[1]dataset_2!$A:$G,6,0)</f>
        <v>37</v>
      </c>
      <c r="T478" s="38">
        <f>VLOOKUP(Table1[[#This Row],[INSTANT]],[1]dataset_2!$A:$G,7,0)</f>
        <v>40</v>
      </c>
    </row>
    <row r="479" spans="1:20" ht="13" x14ac:dyDescent="0.15">
      <c r="A479" s="35">
        <v>478</v>
      </c>
      <c r="B479" s="27">
        <v>40564</v>
      </c>
      <c r="C479" s="8" t="str">
        <f t="shared" si="14"/>
        <v>2011</v>
      </c>
      <c r="D479" s="8" t="str">
        <f t="shared" si="15"/>
        <v>21</v>
      </c>
      <c r="E479" s="7">
        <v>1</v>
      </c>
      <c r="F479" s="7">
        <v>0</v>
      </c>
      <c r="G479" s="7">
        <v>1</v>
      </c>
      <c r="H479" s="7">
        <v>22</v>
      </c>
      <c r="I479" s="7" t="b">
        <v>0</v>
      </c>
      <c r="J479" s="22">
        <f>--Table1[[#This Row],[HOLIDAY]]</f>
        <v>0</v>
      </c>
      <c r="K479" s="9">
        <v>5</v>
      </c>
      <c r="L479" s="7">
        <v>1</v>
      </c>
      <c r="M479" s="7">
        <f>LEN(TEXT(Table1[[#This Row],[WEATHER]],"0"))</f>
        <v>1</v>
      </c>
      <c r="N479" s="36">
        <v>0.06</v>
      </c>
      <c r="O479" s="37">
        <f>VLOOKUP(Table1[[#This Row],[INSTANT]],[1]dataset_2!$A:$G,2,FALSE)</f>
        <v>6.0600000000000001E-2</v>
      </c>
      <c r="P479" s="37">
        <f>VLOOKUP(Table1[[#This Row],[INSTANT]],[1]dataset_2!$A:$G,3,0)</f>
        <v>0.41</v>
      </c>
      <c r="Q479" s="37">
        <f>VLOOKUP(Table1[[#This Row],[INSTANT]],[1]dataset_2!$A:$D,4,FALSE)</f>
        <v>0.16420000000000001</v>
      </c>
      <c r="R479" s="37">
        <f>VLOOKUP(Table1[[#This Row],[INSTANT]],[1]dataset_2!$A:$G,5,0)</f>
        <v>3</v>
      </c>
      <c r="S479" s="38">
        <f>VLOOKUP(Table1[[#This Row],[INSTANT]],[1]dataset_2!$A:$G,6,0)</f>
        <v>50</v>
      </c>
      <c r="T479" s="38">
        <f>VLOOKUP(Table1[[#This Row],[INSTANT]],[1]dataset_2!$A:$G,7,0)</f>
        <v>53</v>
      </c>
    </row>
    <row r="480" spans="1:20" ht="13" x14ac:dyDescent="0.15">
      <c r="A480" s="35">
        <v>479</v>
      </c>
      <c r="B480" s="27">
        <v>40564</v>
      </c>
      <c r="C480" s="8" t="str">
        <f t="shared" si="14"/>
        <v>2011</v>
      </c>
      <c r="D480" s="8" t="str">
        <f t="shared" si="15"/>
        <v>21</v>
      </c>
      <c r="E480" s="7">
        <v>1</v>
      </c>
      <c r="F480" s="7">
        <v>0</v>
      </c>
      <c r="G480" s="7">
        <v>1</v>
      </c>
      <c r="H480" s="7">
        <v>23</v>
      </c>
      <c r="I480" s="7" t="b">
        <v>0</v>
      </c>
      <c r="J480" s="22">
        <f>--Table1[[#This Row],[HOLIDAY]]</f>
        <v>0</v>
      </c>
      <c r="K480" s="9">
        <v>5</v>
      </c>
      <c r="L480" s="7">
        <v>1</v>
      </c>
      <c r="M480" s="7">
        <f>LEN(TEXT(Table1[[#This Row],[WEATHER]],"0"))</f>
        <v>1</v>
      </c>
      <c r="N480" s="36">
        <v>0.06</v>
      </c>
      <c r="O480" s="37">
        <f>VLOOKUP(Table1[[#This Row],[INSTANT]],[1]dataset_2!$A:$G,2,FALSE)</f>
        <v>7.5800000000000006E-2</v>
      </c>
      <c r="P480" s="37">
        <f>VLOOKUP(Table1[[#This Row],[INSTANT]],[1]dataset_2!$A:$G,3,0)</f>
        <v>0.38</v>
      </c>
      <c r="Q480" s="37">
        <f>VLOOKUP(Table1[[#This Row],[INSTANT]],[1]dataset_2!$A:$D,4,FALSE)</f>
        <v>0.1343</v>
      </c>
      <c r="R480" s="37">
        <f>VLOOKUP(Table1[[#This Row],[INSTANT]],[1]dataset_2!$A:$G,5,0)</f>
        <v>4</v>
      </c>
      <c r="S480" s="38">
        <f>VLOOKUP(Table1[[#This Row],[INSTANT]],[1]dataset_2!$A:$G,6,0)</f>
        <v>59</v>
      </c>
      <c r="T480" s="38">
        <f>VLOOKUP(Table1[[#This Row],[INSTANT]],[1]dataset_2!$A:$G,7,0)</f>
        <v>63</v>
      </c>
    </row>
    <row r="481" spans="1:20" ht="13" x14ac:dyDescent="0.15">
      <c r="A481" s="35">
        <v>480</v>
      </c>
      <c r="B481" s="27">
        <v>40565</v>
      </c>
      <c r="C481" s="8" t="str">
        <f t="shared" si="14"/>
        <v>2011</v>
      </c>
      <c r="D481" s="8" t="str">
        <f t="shared" si="15"/>
        <v>22</v>
      </c>
      <c r="E481" s="7">
        <v>1</v>
      </c>
      <c r="F481" s="7">
        <v>0</v>
      </c>
      <c r="G481" s="7">
        <v>1</v>
      </c>
      <c r="H481" s="7">
        <v>0</v>
      </c>
      <c r="I481" s="7" t="b">
        <v>0</v>
      </c>
      <c r="J481" s="22">
        <f>--Table1[[#This Row],[HOLIDAY]]</f>
        <v>0</v>
      </c>
      <c r="K481" s="9">
        <v>6</v>
      </c>
      <c r="L481" s="7">
        <v>1</v>
      </c>
      <c r="M481" s="7">
        <f>LEN(TEXT(Table1[[#This Row],[WEATHER]],"0"))</f>
        <v>1</v>
      </c>
      <c r="N481" s="36">
        <v>0.04</v>
      </c>
      <c r="O481" s="37">
        <f>VLOOKUP(Table1[[#This Row],[INSTANT]],[1]dataset_2!$A:$G,2,FALSE)</f>
        <v>0.1061</v>
      </c>
      <c r="P481" s="37">
        <f>VLOOKUP(Table1[[#This Row],[INSTANT]],[1]dataset_2!$A:$G,3,0)</f>
        <v>0.38</v>
      </c>
      <c r="Q481" s="37">
        <f>VLOOKUP(Table1[[#This Row],[INSTANT]],[1]dataset_2!$A:$D,4,FALSE)</f>
        <v>0.1045</v>
      </c>
      <c r="R481" s="37">
        <f>VLOOKUP(Table1[[#This Row],[INSTANT]],[1]dataset_2!$A:$G,5,0)</f>
        <v>10</v>
      </c>
      <c r="S481" s="38">
        <f>VLOOKUP(Table1[[#This Row],[INSTANT]],[1]dataset_2!$A:$G,6,0)</f>
        <v>60</v>
      </c>
      <c r="T481" s="38">
        <f>VLOOKUP(Table1[[#This Row],[INSTANT]],[1]dataset_2!$A:$G,7,0)</f>
        <v>70</v>
      </c>
    </row>
    <row r="482" spans="1:20" ht="13" x14ac:dyDescent="0.15">
      <c r="A482" s="35">
        <v>481</v>
      </c>
      <c r="B482" s="27">
        <v>40565</v>
      </c>
      <c r="C482" s="8" t="str">
        <f t="shared" si="14"/>
        <v>2011</v>
      </c>
      <c r="D482" s="8" t="str">
        <f t="shared" si="15"/>
        <v>22</v>
      </c>
      <c r="E482" s="7">
        <v>1</v>
      </c>
      <c r="F482" s="7">
        <v>0</v>
      </c>
      <c r="G482" s="7">
        <v>1</v>
      </c>
      <c r="H482" s="7">
        <v>1</v>
      </c>
      <c r="I482" s="7" t="b">
        <v>0</v>
      </c>
      <c r="J482" s="22">
        <f>--Table1[[#This Row],[HOLIDAY]]</f>
        <v>0</v>
      </c>
      <c r="K482" s="9">
        <v>6</v>
      </c>
      <c r="L482" s="7">
        <v>2</v>
      </c>
      <c r="M482" s="7">
        <f>LEN(TEXT(Table1[[#This Row],[WEATHER]],"0"))</f>
        <v>1</v>
      </c>
      <c r="N482" s="36">
        <v>0.04</v>
      </c>
      <c r="O482" s="37">
        <f>VLOOKUP(Table1[[#This Row],[INSTANT]],[1]dataset_2!$A:$G,2,FALSE)</f>
        <v>0.16669999999999999</v>
      </c>
      <c r="P482" s="37">
        <f>VLOOKUP(Table1[[#This Row],[INSTANT]],[1]dataset_2!$A:$G,3,0)</f>
        <v>0.35</v>
      </c>
      <c r="Q482" s="37">
        <f>VLOOKUP(Table1[[#This Row],[INSTANT]],[1]dataset_2!$A:$D,4,FALSE)</f>
        <v>0</v>
      </c>
      <c r="R482" s="37">
        <f>VLOOKUP(Table1[[#This Row],[INSTANT]],[1]dataset_2!$A:$G,5,0)</f>
        <v>12</v>
      </c>
      <c r="S482" s="38">
        <f>VLOOKUP(Table1[[#This Row],[INSTANT]],[1]dataset_2!$A:$G,6,0)</f>
        <v>72</v>
      </c>
      <c r="T482" s="38">
        <f>VLOOKUP(Table1[[#This Row],[INSTANT]],[1]dataset_2!$A:$G,7,0)</f>
        <v>84</v>
      </c>
    </row>
    <row r="483" spans="1:20" ht="13" x14ac:dyDescent="0.15">
      <c r="A483" s="35">
        <v>482</v>
      </c>
      <c r="B483" s="27">
        <v>40565</v>
      </c>
      <c r="C483" s="8" t="str">
        <f t="shared" si="14"/>
        <v>2011</v>
      </c>
      <c r="D483" s="8" t="str">
        <f t="shared" si="15"/>
        <v>22</v>
      </c>
      <c r="E483" s="7">
        <v>1</v>
      </c>
      <c r="F483" s="7">
        <v>0</v>
      </c>
      <c r="G483" s="7">
        <v>1</v>
      </c>
      <c r="H483" s="7">
        <v>2</v>
      </c>
      <c r="I483" s="7" t="b">
        <v>0</v>
      </c>
      <c r="J483" s="22">
        <f>--Table1[[#This Row],[HOLIDAY]]</f>
        <v>0</v>
      </c>
      <c r="K483" s="9">
        <v>6</v>
      </c>
      <c r="L483" s="7">
        <v>2</v>
      </c>
      <c r="M483" s="7">
        <f>LEN(TEXT(Table1[[#This Row],[WEATHER]],"0"))</f>
        <v>1</v>
      </c>
      <c r="N483" s="36">
        <v>0.04</v>
      </c>
      <c r="O483" s="37">
        <f>VLOOKUP(Table1[[#This Row],[INSTANT]],[1]dataset_2!$A:$G,2,FALSE)</f>
        <v>0.13639999999999999</v>
      </c>
      <c r="P483" s="37">
        <f>VLOOKUP(Table1[[#This Row],[INSTANT]],[1]dataset_2!$A:$G,3,0)</f>
        <v>0.33</v>
      </c>
      <c r="Q483" s="37">
        <f>VLOOKUP(Table1[[#This Row],[INSTANT]],[1]dataset_2!$A:$D,4,FALSE)</f>
        <v>0.1045</v>
      </c>
      <c r="R483" s="37">
        <f>VLOOKUP(Table1[[#This Row],[INSTANT]],[1]dataset_2!$A:$G,5,0)</f>
        <v>11</v>
      </c>
      <c r="S483" s="38">
        <f>VLOOKUP(Table1[[#This Row],[INSTANT]],[1]dataset_2!$A:$G,6,0)</f>
        <v>64</v>
      </c>
      <c r="T483" s="38">
        <f>VLOOKUP(Table1[[#This Row],[INSTANT]],[1]dataset_2!$A:$G,7,0)</f>
        <v>75</v>
      </c>
    </row>
    <row r="484" spans="1:20" ht="13" x14ac:dyDescent="0.15">
      <c r="A484" s="35">
        <v>483</v>
      </c>
      <c r="B484" s="27">
        <v>40565</v>
      </c>
      <c r="C484" s="8" t="str">
        <f t="shared" si="14"/>
        <v>2011</v>
      </c>
      <c r="D484" s="8" t="str">
        <f t="shared" si="15"/>
        <v>22</v>
      </c>
      <c r="E484" s="7">
        <v>1</v>
      </c>
      <c r="F484" s="7">
        <v>0</v>
      </c>
      <c r="G484" s="7">
        <v>1</v>
      </c>
      <c r="H484" s="7">
        <v>3</v>
      </c>
      <c r="I484" s="7" t="b">
        <v>0</v>
      </c>
      <c r="J484" s="22">
        <f>--Table1[[#This Row],[HOLIDAY]]</f>
        <v>0</v>
      </c>
      <c r="K484" s="9">
        <v>6</v>
      </c>
      <c r="L484" s="7">
        <v>2</v>
      </c>
      <c r="M484" s="7">
        <f>LEN(TEXT(Table1[[#This Row],[WEATHER]],"0"))</f>
        <v>1</v>
      </c>
      <c r="N484" s="36">
        <v>0.04</v>
      </c>
      <c r="O484" s="37">
        <f>VLOOKUP(Table1[[#This Row],[INSTANT]],[1]dataset_2!$A:$G,2,FALSE)</f>
        <v>0.1515</v>
      </c>
      <c r="P484" s="37">
        <f>VLOOKUP(Table1[[#This Row],[INSTANT]],[1]dataset_2!$A:$G,3,0)</f>
        <v>0.28000000000000003</v>
      </c>
      <c r="Q484" s="37">
        <f>VLOOKUP(Table1[[#This Row],[INSTANT]],[1]dataset_2!$A:$D,4,FALSE)</f>
        <v>0</v>
      </c>
      <c r="R484" s="37">
        <f>VLOOKUP(Table1[[#This Row],[INSTANT]],[1]dataset_2!$A:$G,5,0)</f>
        <v>10</v>
      </c>
      <c r="S484" s="38">
        <f>VLOOKUP(Table1[[#This Row],[INSTANT]],[1]dataset_2!$A:$G,6,0)</f>
        <v>93</v>
      </c>
      <c r="T484" s="38">
        <f>VLOOKUP(Table1[[#This Row],[INSTANT]],[1]dataset_2!$A:$G,7,0)</f>
        <v>103</v>
      </c>
    </row>
    <row r="485" spans="1:20" ht="13" x14ac:dyDescent="0.15">
      <c r="A485" s="35">
        <v>484</v>
      </c>
      <c r="B485" s="27">
        <v>40565</v>
      </c>
      <c r="C485" s="8" t="str">
        <f t="shared" si="14"/>
        <v>2011</v>
      </c>
      <c r="D485" s="8" t="str">
        <f t="shared" si="15"/>
        <v>22</v>
      </c>
      <c r="E485" s="7">
        <v>1</v>
      </c>
      <c r="F485" s="7">
        <v>0</v>
      </c>
      <c r="G485" s="7">
        <v>1</v>
      </c>
      <c r="H485" s="7">
        <v>4</v>
      </c>
      <c r="I485" s="7" t="b">
        <v>0</v>
      </c>
      <c r="J485" s="22">
        <f>--Table1[[#This Row],[HOLIDAY]]</f>
        <v>0</v>
      </c>
      <c r="K485" s="9">
        <v>6</v>
      </c>
      <c r="L485" s="7">
        <v>2</v>
      </c>
      <c r="M485" s="7">
        <f>LEN(TEXT(Table1[[#This Row],[WEATHER]],"0"))</f>
        <v>1</v>
      </c>
      <c r="N485" s="36">
        <v>0.02</v>
      </c>
      <c r="O485" s="37">
        <f>VLOOKUP(Table1[[#This Row],[INSTANT]],[1]dataset_2!$A:$G,2,FALSE)</f>
        <v>0.13639999999999999</v>
      </c>
      <c r="P485" s="37">
        <f>VLOOKUP(Table1[[#This Row],[INSTANT]],[1]dataset_2!$A:$G,3,0)</f>
        <v>0.28000000000000003</v>
      </c>
      <c r="Q485" s="37">
        <f>VLOOKUP(Table1[[#This Row],[INSTANT]],[1]dataset_2!$A:$D,4,FALSE)</f>
        <v>0.19400000000000001</v>
      </c>
      <c r="R485" s="37">
        <f>VLOOKUP(Table1[[#This Row],[INSTANT]],[1]dataset_2!$A:$G,5,0)</f>
        <v>11</v>
      </c>
      <c r="S485" s="38">
        <f>VLOOKUP(Table1[[#This Row],[INSTANT]],[1]dataset_2!$A:$G,6,0)</f>
        <v>72</v>
      </c>
      <c r="T485" s="38">
        <f>VLOOKUP(Table1[[#This Row],[INSTANT]],[1]dataset_2!$A:$G,7,0)</f>
        <v>83</v>
      </c>
    </row>
    <row r="486" spans="1:20" ht="13" x14ac:dyDescent="0.15">
      <c r="A486" s="35">
        <v>485</v>
      </c>
      <c r="B486" s="27">
        <v>40565</v>
      </c>
      <c r="C486" s="8" t="str">
        <f t="shared" si="14"/>
        <v>2011</v>
      </c>
      <c r="D486" s="8" t="str">
        <f t="shared" si="15"/>
        <v>22</v>
      </c>
      <c r="E486" s="7">
        <v>1</v>
      </c>
      <c r="F486" s="7">
        <v>0</v>
      </c>
      <c r="G486" s="7">
        <v>1</v>
      </c>
      <c r="H486" s="7">
        <v>6</v>
      </c>
      <c r="I486" s="7" t="b">
        <v>0</v>
      </c>
      <c r="J486" s="22">
        <f>--Table1[[#This Row],[HOLIDAY]]</f>
        <v>0</v>
      </c>
      <c r="K486" s="9">
        <v>6</v>
      </c>
      <c r="L486" s="7">
        <v>2</v>
      </c>
      <c r="M486" s="7">
        <f>LEN(TEXT(Table1[[#This Row],[WEATHER]],"0"))</f>
        <v>1</v>
      </c>
      <c r="N486" s="36">
        <v>0.02</v>
      </c>
      <c r="O486" s="37">
        <f>VLOOKUP(Table1[[#This Row],[INSTANT]],[1]dataset_2!$A:$G,2,FALSE)</f>
        <v>0.19700000000000001</v>
      </c>
      <c r="P486" s="37">
        <f>VLOOKUP(Table1[[#This Row],[INSTANT]],[1]dataset_2!$A:$G,3,0)</f>
        <v>0.28000000000000003</v>
      </c>
      <c r="Q486" s="37">
        <f>VLOOKUP(Table1[[#This Row],[INSTANT]],[1]dataset_2!$A:$D,4,FALSE)</f>
        <v>0</v>
      </c>
      <c r="R486" s="37">
        <f>VLOOKUP(Table1[[#This Row],[INSTANT]],[1]dataset_2!$A:$G,5,0)</f>
        <v>8</v>
      </c>
      <c r="S486" s="38">
        <f>VLOOKUP(Table1[[#This Row],[INSTANT]],[1]dataset_2!$A:$G,6,0)</f>
        <v>59</v>
      </c>
      <c r="T486" s="38">
        <f>VLOOKUP(Table1[[#This Row],[INSTANT]],[1]dataset_2!$A:$G,7,0)</f>
        <v>67</v>
      </c>
    </row>
    <row r="487" spans="1:20" ht="13" x14ac:dyDescent="0.15">
      <c r="A487" s="35">
        <v>486</v>
      </c>
      <c r="B487" s="27">
        <v>40565</v>
      </c>
      <c r="C487" s="8" t="str">
        <f t="shared" si="14"/>
        <v>2011</v>
      </c>
      <c r="D487" s="8" t="str">
        <f t="shared" si="15"/>
        <v>22</v>
      </c>
      <c r="E487" s="7">
        <v>1</v>
      </c>
      <c r="F487" s="7">
        <v>0</v>
      </c>
      <c r="G487" s="7">
        <v>1</v>
      </c>
      <c r="H487" s="7">
        <v>7</v>
      </c>
      <c r="I487" s="7" t="b">
        <v>0</v>
      </c>
      <c r="J487" s="22">
        <f>--Table1[[#This Row],[HOLIDAY]]</f>
        <v>0</v>
      </c>
      <c r="K487" s="9">
        <v>6</v>
      </c>
      <c r="L487" s="7">
        <v>1</v>
      </c>
      <c r="M487" s="7">
        <f>LEN(TEXT(Table1[[#This Row],[WEATHER]],"0"))</f>
        <v>1</v>
      </c>
      <c r="N487" s="36">
        <v>0.02</v>
      </c>
      <c r="O487" s="37">
        <f>VLOOKUP(Table1[[#This Row],[INSTANT]],[1]dataset_2!$A:$G,2,FALSE)</f>
        <v>9.0899999999999995E-2</v>
      </c>
      <c r="P487" s="37">
        <f>VLOOKUP(Table1[[#This Row],[INSTANT]],[1]dataset_2!$A:$G,3,0)</f>
        <v>0.35</v>
      </c>
      <c r="Q487" s="37">
        <f>VLOOKUP(Table1[[#This Row],[INSTANT]],[1]dataset_2!$A:$D,4,FALSE)</f>
        <v>0.19400000000000001</v>
      </c>
      <c r="R487" s="37">
        <f>VLOOKUP(Table1[[#This Row],[INSTANT]],[1]dataset_2!$A:$G,5,0)</f>
        <v>0</v>
      </c>
      <c r="S487" s="38">
        <f>VLOOKUP(Table1[[#This Row],[INSTANT]],[1]dataset_2!$A:$G,6,0)</f>
        <v>54</v>
      </c>
      <c r="T487" s="38">
        <f>VLOOKUP(Table1[[#This Row],[INSTANT]],[1]dataset_2!$A:$G,7,0)</f>
        <v>54</v>
      </c>
    </row>
    <row r="488" spans="1:20" ht="13" x14ac:dyDescent="0.15">
      <c r="A488" s="35">
        <v>487</v>
      </c>
      <c r="B488" s="27">
        <v>40565</v>
      </c>
      <c r="C488" s="8" t="str">
        <f t="shared" si="14"/>
        <v>2011</v>
      </c>
      <c r="D488" s="8" t="str">
        <f t="shared" si="15"/>
        <v>22</v>
      </c>
      <c r="E488" s="7">
        <v>1</v>
      </c>
      <c r="F488" s="7">
        <v>0</v>
      </c>
      <c r="G488" s="7">
        <v>1</v>
      </c>
      <c r="H488" s="7">
        <v>8</v>
      </c>
      <c r="I488" s="7" t="b">
        <v>0</v>
      </c>
      <c r="J488" s="22">
        <f>--Table1[[#This Row],[HOLIDAY]]</f>
        <v>0</v>
      </c>
      <c r="K488" s="9">
        <v>6</v>
      </c>
      <c r="L488" s="7">
        <v>1</v>
      </c>
      <c r="M488" s="7">
        <f>LEN(TEXT(Table1[[#This Row],[WEATHER]],"0"))</f>
        <v>1</v>
      </c>
      <c r="N488" s="36">
        <v>0.02</v>
      </c>
      <c r="O488" s="37">
        <f>VLOOKUP(Table1[[#This Row],[INSTANT]],[1]dataset_2!$A:$G,2,FALSE)</f>
        <v>0.1061</v>
      </c>
      <c r="P488" s="37">
        <f>VLOOKUP(Table1[[#This Row],[INSTANT]],[1]dataset_2!$A:$G,3,0)</f>
        <v>0.35</v>
      </c>
      <c r="Q488" s="37">
        <f>VLOOKUP(Table1[[#This Row],[INSTANT]],[1]dataset_2!$A:$D,4,FALSE)</f>
        <v>0.1343</v>
      </c>
      <c r="R488" s="37">
        <f>VLOOKUP(Table1[[#This Row],[INSTANT]],[1]dataset_2!$A:$G,5,0)</f>
        <v>6</v>
      </c>
      <c r="S488" s="38">
        <f>VLOOKUP(Table1[[#This Row],[INSTANT]],[1]dataset_2!$A:$G,6,0)</f>
        <v>53</v>
      </c>
      <c r="T488" s="38">
        <f>VLOOKUP(Table1[[#This Row],[INSTANT]],[1]dataset_2!$A:$G,7,0)</f>
        <v>59</v>
      </c>
    </row>
    <row r="489" spans="1:20" ht="13" x14ac:dyDescent="0.15">
      <c r="A489" s="35">
        <v>488</v>
      </c>
      <c r="B489" s="27">
        <v>40565</v>
      </c>
      <c r="C489" s="8" t="str">
        <f t="shared" si="14"/>
        <v>2011</v>
      </c>
      <c r="D489" s="8" t="str">
        <f t="shared" si="15"/>
        <v>22</v>
      </c>
      <c r="E489" s="7">
        <v>1</v>
      </c>
      <c r="F489" s="7">
        <v>0</v>
      </c>
      <c r="G489" s="7">
        <v>1</v>
      </c>
      <c r="H489" s="7">
        <v>9</v>
      </c>
      <c r="I489" s="7" t="b">
        <v>0</v>
      </c>
      <c r="J489" s="22">
        <f>--Table1[[#This Row],[HOLIDAY]]</f>
        <v>0</v>
      </c>
      <c r="K489" s="9">
        <v>6</v>
      </c>
      <c r="L489" s="7">
        <v>1</v>
      </c>
      <c r="M489" s="7">
        <f>LEN(TEXT(Table1[[#This Row],[WEATHER]],"0"))</f>
        <v>1</v>
      </c>
      <c r="N489" s="36">
        <v>0.04</v>
      </c>
      <c r="O489" s="37">
        <f>VLOOKUP(Table1[[#This Row],[INSTANT]],[1]dataset_2!$A:$G,2,FALSE)</f>
        <v>7.5800000000000006E-2</v>
      </c>
      <c r="P489" s="37">
        <f>VLOOKUP(Table1[[#This Row],[INSTANT]],[1]dataset_2!$A:$G,3,0)</f>
        <v>0.45</v>
      </c>
      <c r="Q489" s="37">
        <f>VLOOKUP(Table1[[#This Row],[INSTANT]],[1]dataset_2!$A:$D,4,FALSE)</f>
        <v>0.16420000000000001</v>
      </c>
      <c r="R489" s="37">
        <f>VLOOKUP(Table1[[#This Row],[INSTANT]],[1]dataset_2!$A:$G,5,0)</f>
        <v>1</v>
      </c>
      <c r="S489" s="38">
        <f>VLOOKUP(Table1[[#This Row],[INSTANT]],[1]dataset_2!$A:$G,6,0)</f>
        <v>44</v>
      </c>
      <c r="T489" s="38">
        <f>VLOOKUP(Table1[[#This Row],[INSTANT]],[1]dataset_2!$A:$G,7,0)</f>
        <v>45</v>
      </c>
    </row>
    <row r="490" spans="1:20" ht="13" x14ac:dyDescent="0.15">
      <c r="A490" s="35">
        <v>489</v>
      </c>
      <c r="B490" s="27">
        <v>40565</v>
      </c>
      <c r="C490" s="8" t="str">
        <f t="shared" si="14"/>
        <v>2011</v>
      </c>
      <c r="D490" s="8" t="str">
        <f t="shared" si="15"/>
        <v>22</v>
      </c>
      <c r="E490" s="7">
        <v>1</v>
      </c>
      <c r="F490" s="7">
        <v>0</v>
      </c>
      <c r="G490" s="7">
        <v>1</v>
      </c>
      <c r="H490" s="7">
        <v>10</v>
      </c>
      <c r="I490" s="7" t="b">
        <v>0</v>
      </c>
      <c r="J490" s="22">
        <f>--Table1[[#This Row],[HOLIDAY]]</f>
        <v>0</v>
      </c>
      <c r="K490" s="9">
        <v>6</v>
      </c>
      <c r="L490" s="7">
        <v>2</v>
      </c>
      <c r="M490" s="7">
        <f>LEN(TEXT(Table1[[#This Row],[WEATHER]],"0"))</f>
        <v>1</v>
      </c>
      <c r="N490" s="36">
        <v>0.04</v>
      </c>
      <c r="O490" s="37">
        <f>VLOOKUP(Table1[[#This Row],[INSTANT]],[1]dataset_2!$A:$G,2,FALSE)</f>
        <v>0.1061</v>
      </c>
      <c r="P490" s="37">
        <f>VLOOKUP(Table1[[#This Row],[INSTANT]],[1]dataset_2!$A:$G,3,0)</f>
        <v>0.41</v>
      </c>
      <c r="Q490" s="37">
        <f>VLOOKUP(Table1[[#This Row],[INSTANT]],[1]dataset_2!$A:$D,4,FALSE)</f>
        <v>8.9599999999999999E-2</v>
      </c>
      <c r="R490" s="37">
        <f>VLOOKUP(Table1[[#This Row],[INSTANT]],[1]dataset_2!$A:$G,5,0)</f>
        <v>0</v>
      </c>
      <c r="S490" s="38">
        <f>VLOOKUP(Table1[[#This Row],[INSTANT]],[1]dataset_2!$A:$G,6,0)</f>
        <v>39</v>
      </c>
      <c r="T490" s="38">
        <f>VLOOKUP(Table1[[#This Row],[INSTANT]],[1]dataset_2!$A:$G,7,0)</f>
        <v>39</v>
      </c>
    </row>
    <row r="491" spans="1:20" ht="13" x14ac:dyDescent="0.15">
      <c r="A491" s="35">
        <v>490</v>
      </c>
      <c r="B491" s="27">
        <v>40565</v>
      </c>
      <c r="C491" s="8" t="str">
        <f t="shared" si="14"/>
        <v>2011</v>
      </c>
      <c r="D491" s="8" t="str">
        <f t="shared" si="15"/>
        <v>22</v>
      </c>
      <c r="E491" s="7">
        <v>1</v>
      </c>
      <c r="F491" s="7">
        <v>0</v>
      </c>
      <c r="G491" s="7">
        <v>1</v>
      </c>
      <c r="H491" s="7">
        <v>11</v>
      </c>
      <c r="I491" s="7" t="b">
        <v>0</v>
      </c>
      <c r="J491" s="22">
        <f>--Table1[[#This Row],[HOLIDAY]]</f>
        <v>0</v>
      </c>
      <c r="K491" s="9">
        <v>6</v>
      </c>
      <c r="L491" s="7">
        <v>2</v>
      </c>
      <c r="M491" s="7">
        <f>LEN(TEXT(Table1[[#This Row],[WEATHER]],"0"))</f>
        <v>1</v>
      </c>
      <c r="N491" s="36">
        <v>0.06</v>
      </c>
      <c r="O491" s="37">
        <f>VLOOKUP(Table1[[#This Row],[INSTANT]],[1]dataset_2!$A:$G,2,FALSE)</f>
        <v>0.1515</v>
      </c>
      <c r="P491" s="37">
        <f>VLOOKUP(Table1[[#This Row],[INSTANT]],[1]dataset_2!$A:$G,3,0)</f>
        <v>0.49</v>
      </c>
      <c r="Q491" s="37">
        <f>VLOOKUP(Table1[[#This Row],[INSTANT]],[1]dataset_2!$A:$D,4,FALSE)</f>
        <v>0</v>
      </c>
      <c r="R491" s="37">
        <f>VLOOKUP(Table1[[#This Row],[INSTANT]],[1]dataset_2!$A:$G,5,0)</f>
        <v>7</v>
      </c>
      <c r="S491" s="38">
        <f>VLOOKUP(Table1[[#This Row],[INSTANT]],[1]dataset_2!$A:$G,6,0)</f>
        <v>23</v>
      </c>
      <c r="T491" s="38">
        <f>VLOOKUP(Table1[[#This Row],[INSTANT]],[1]dataset_2!$A:$G,7,0)</f>
        <v>30</v>
      </c>
    </row>
    <row r="492" spans="1:20" ht="13" x14ac:dyDescent="0.15">
      <c r="A492" s="35">
        <v>491</v>
      </c>
      <c r="B492" s="27">
        <v>40565</v>
      </c>
      <c r="C492" s="8" t="str">
        <f t="shared" si="14"/>
        <v>2011</v>
      </c>
      <c r="D492" s="8" t="str">
        <f t="shared" si="15"/>
        <v>22</v>
      </c>
      <c r="E492" s="7">
        <v>1</v>
      </c>
      <c r="F492" s="7">
        <v>0</v>
      </c>
      <c r="G492" s="7">
        <v>1</v>
      </c>
      <c r="H492" s="7">
        <v>12</v>
      </c>
      <c r="I492" s="7" t="b">
        <v>0</v>
      </c>
      <c r="J492" s="22">
        <f>--Table1[[#This Row],[HOLIDAY]]</f>
        <v>0</v>
      </c>
      <c r="K492" s="9">
        <v>6</v>
      </c>
      <c r="L492" s="7">
        <v>2</v>
      </c>
      <c r="M492" s="7">
        <f>LEN(TEXT(Table1[[#This Row],[WEATHER]],"0"))</f>
        <v>1</v>
      </c>
      <c r="N492" s="36">
        <v>0.06</v>
      </c>
      <c r="O492" s="37">
        <f>VLOOKUP(Table1[[#This Row],[INSTANT]],[1]dataset_2!$A:$G,2,FALSE)</f>
        <v>7.5800000000000006E-2</v>
      </c>
      <c r="P492" s="37">
        <f>VLOOKUP(Table1[[#This Row],[INSTANT]],[1]dataset_2!$A:$G,3,0)</f>
        <v>0.56999999999999995</v>
      </c>
      <c r="Q492" s="37">
        <f>VLOOKUP(Table1[[#This Row],[INSTANT]],[1]dataset_2!$A:$D,4,FALSE)</f>
        <v>0.1045</v>
      </c>
      <c r="R492" s="37">
        <f>VLOOKUP(Table1[[#This Row],[INSTANT]],[1]dataset_2!$A:$G,5,0)</f>
        <v>2</v>
      </c>
      <c r="S492" s="38">
        <f>VLOOKUP(Table1[[#This Row],[INSTANT]],[1]dataset_2!$A:$G,6,0)</f>
        <v>31</v>
      </c>
      <c r="T492" s="38">
        <f>VLOOKUP(Table1[[#This Row],[INSTANT]],[1]dataset_2!$A:$G,7,0)</f>
        <v>33</v>
      </c>
    </row>
    <row r="493" spans="1:20" ht="13" x14ac:dyDescent="0.15">
      <c r="A493" s="35">
        <v>492</v>
      </c>
      <c r="B493" s="27">
        <v>40565</v>
      </c>
      <c r="C493" s="8" t="str">
        <f t="shared" si="14"/>
        <v>2011</v>
      </c>
      <c r="D493" s="8" t="str">
        <f t="shared" si="15"/>
        <v>22</v>
      </c>
      <c r="E493" s="7">
        <v>1</v>
      </c>
      <c r="F493" s="7">
        <v>0</v>
      </c>
      <c r="G493" s="7">
        <v>1</v>
      </c>
      <c r="H493" s="7">
        <v>13</v>
      </c>
      <c r="I493" s="7" t="b">
        <v>0</v>
      </c>
      <c r="J493" s="22">
        <f>--Table1[[#This Row],[HOLIDAY]]</f>
        <v>0</v>
      </c>
      <c r="K493" s="9">
        <v>6</v>
      </c>
      <c r="L493" s="7">
        <v>1</v>
      </c>
      <c r="M493" s="7">
        <f>LEN(TEXT(Table1[[#This Row],[WEATHER]],"0"))</f>
        <v>1</v>
      </c>
      <c r="N493" s="36">
        <v>0.08</v>
      </c>
      <c r="O493" s="37">
        <f>VLOOKUP(Table1[[#This Row],[INSTANT]],[1]dataset_2!$A:$G,2,FALSE)</f>
        <v>7.5800000000000006E-2</v>
      </c>
      <c r="P493" s="37">
        <f>VLOOKUP(Table1[[#This Row],[INSTANT]],[1]dataset_2!$A:$G,3,0)</f>
        <v>0.56999999999999995</v>
      </c>
      <c r="Q493" s="37">
        <f>VLOOKUP(Table1[[#This Row],[INSTANT]],[1]dataset_2!$A:$D,4,FALSE)</f>
        <v>0.1045</v>
      </c>
      <c r="R493" s="37">
        <f>VLOOKUP(Table1[[#This Row],[INSTANT]],[1]dataset_2!$A:$G,5,0)</f>
        <v>2</v>
      </c>
      <c r="S493" s="38">
        <f>VLOOKUP(Table1[[#This Row],[INSTANT]],[1]dataset_2!$A:$G,6,0)</f>
        <v>20</v>
      </c>
      <c r="T493" s="38">
        <f>VLOOKUP(Table1[[#This Row],[INSTANT]],[1]dataset_2!$A:$G,7,0)</f>
        <v>22</v>
      </c>
    </row>
    <row r="494" spans="1:20" ht="13" x14ac:dyDescent="0.15">
      <c r="A494" s="35">
        <v>493</v>
      </c>
      <c r="B494" s="27">
        <v>40565</v>
      </c>
      <c r="C494" s="8" t="str">
        <f t="shared" si="14"/>
        <v>2011</v>
      </c>
      <c r="D494" s="8" t="str">
        <f t="shared" si="15"/>
        <v>22</v>
      </c>
      <c r="E494" s="7">
        <v>1</v>
      </c>
      <c r="F494" s="7">
        <v>0</v>
      </c>
      <c r="G494" s="7">
        <v>1</v>
      </c>
      <c r="H494" s="7">
        <v>14</v>
      </c>
      <c r="I494" s="7" t="b">
        <v>0</v>
      </c>
      <c r="J494" s="22">
        <f>--Table1[[#This Row],[HOLIDAY]]</f>
        <v>0</v>
      </c>
      <c r="K494" s="9">
        <v>6</v>
      </c>
      <c r="L494" s="7">
        <v>1</v>
      </c>
      <c r="M494" s="7">
        <f>LEN(TEXT(Table1[[#This Row],[WEATHER]],"0"))</f>
        <v>1</v>
      </c>
      <c r="N494" s="36">
        <v>0.1</v>
      </c>
      <c r="O494" s="37">
        <f>VLOOKUP(Table1[[#This Row],[INSTANT]],[1]dataset_2!$A:$G,2,FALSE)</f>
        <v>7.5800000000000006E-2</v>
      </c>
      <c r="P494" s="37">
        <f>VLOOKUP(Table1[[#This Row],[INSTANT]],[1]dataset_2!$A:$G,3,0)</f>
        <v>0.56999999999999995</v>
      </c>
      <c r="Q494" s="37">
        <f>VLOOKUP(Table1[[#This Row],[INSTANT]],[1]dataset_2!$A:$D,4,FALSE)</f>
        <v>0.1045</v>
      </c>
      <c r="R494" s="37">
        <f>VLOOKUP(Table1[[#This Row],[INSTANT]],[1]dataset_2!$A:$G,5,0)</f>
        <v>1</v>
      </c>
      <c r="S494" s="38">
        <f>VLOOKUP(Table1[[#This Row],[INSTANT]],[1]dataset_2!$A:$G,6,0)</f>
        <v>12</v>
      </c>
      <c r="T494" s="38">
        <f>VLOOKUP(Table1[[#This Row],[INSTANT]],[1]dataset_2!$A:$G,7,0)</f>
        <v>13</v>
      </c>
    </row>
    <row r="495" spans="1:20" ht="13" x14ac:dyDescent="0.15">
      <c r="A495" s="35">
        <v>494</v>
      </c>
      <c r="B495" s="27">
        <v>40565</v>
      </c>
      <c r="C495" s="8" t="str">
        <f t="shared" si="14"/>
        <v>2011</v>
      </c>
      <c r="D495" s="8" t="str">
        <f t="shared" si="15"/>
        <v>22</v>
      </c>
      <c r="E495" s="7">
        <v>1</v>
      </c>
      <c r="F495" s="7">
        <v>0</v>
      </c>
      <c r="G495" s="7">
        <v>1</v>
      </c>
      <c r="H495" s="7">
        <v>15</v>
      </c>
      <c r="I495" s="7" t="b">
        <v>0</v>
      </c>
      <c r="J495" s="22">
        <f>--Table1[[#This Row],[HOLIDAY]]</f>
        <v>0</v>
      </c>
      <c r="K495" s="9">
        <v>6</v>
      </c>
      <c r="L495" s="7">
        <v>1</v>
      </c>
      <c r="M495" s="7">
        <f>LEN(TEXT(Table1[[#This Row],[WEATHER]],"0"))</f>
        <v>1</v>
      </c>
      <c r="N495" s="36">
        <v>0.12</v>
      </c>
      <c r="O495" s="37">
        <f>VLOOKUP(Table1[[#This Row],[INSTANT]],[1]dataset_2!$A:$G,2,FALSE)</f>
        <v>6.0600000000000001E-2</v>
      </c>
      <c r="P495" s="37">
        <f>VLOOKUP(Table1[[#This Row],[INSTANT]],[1]dataset_2!$A:$G,3,0)</f>
        <v>0.62</v>
      </c>
      <c r="Q495" s="37">
        <f>VLOOKUP(Table1[[#This Row],[INSTANT]],[1]dataset_2!$A:$D,4,FALSE)</f>
        <v>0.1343</v>
      </c>
      <c r="R495" s="37">
        <f>VLOOKUP(Table1[[#This Row],[INSTANT]],[1]dataset_2!$A:$G,5,0)</f>
        <v>3</v>
      </c>
      <c r="S495" s="38">
        <f>VLOOKUP(Table1[[#This Row],[INSTANT]],[1]dataset_2!$A:$G,6,0)</f>
        <v>15</v>
      </c>
      <c r="T495" s="38">
        <f>VLOOKUP(Table1[[#This Row],[INSTANT]],[1]dataset_2!$A:$G,7,0)</f>
        <v>18</v>
      </c>
    </row>
    <row r="496" spans="1:20" ht="13" x14ac:dyDescent="0.15">
      <c r="A496" s="35">
        <v>495</v>
      </c>
      <c r="B496" s="27">
        <v>40565</v>
      </c>
      <c r="C496" s="8" t="str">
        <f t="shared" si="14"/>
        <v>2011</v>
      </c>
      <c r="D496" s="8" t="str">
        <f t="shared" si="15"/>
        <v>22</v>
      </c>
      <c r="E496" s="7">
        <v>1</v>
      </c>
      <c r="F496" s="7">
        <v>0</v>
      </c>
      <c r="G496" s="7">
        <v>1</v>
      </c>
      <c r="H496" s="7">
        <v>16</v>
      </c>
      <c r="I496" s="7" t="b">
        <v>0</v>
      </c>
      <c r="J496" s="22">
        <f>--Table1[[#This Row],[HOLIDAY]]</f>
        <v>0</v>
      </c>
      <c r="K496" s="9">
        <v>6</v>
      </c>
      <c r="L496" s="7">
        <v>1</v>
      </c>
      <c r="M496" s="7">
        <f>LEN(TEXT(Table1[[#This Row],[WEATHER]],"0"))</f>
        <v>1</v>
      </c>
      <c r="N496" s="36">
        <v>0.12</v>
      </c>
      <c r="O496" s="37">
        <f>VLOOKUP(Table1[[#This Row],[INSTANT]],[1]dataset_2!$A:$G,2,FALSE)</f>
        <v>6.0600000000000001E-2</v>
      </c>
      <c r="P496" s="37">
        <f>VLOOKUP(Table1[[#This Row],[INSTANT]],[1]dataset_2!$A:$G,3,0)</f>
        <v>0.62</v>
      </c>
      <c r="Q496" s="37">
        <f>VLOOKUP(Table1[[#This Row],[INSTANT]],[1]dataset_2!$A:$D,4,FALSE)</f>
        <v>0.1343</v>
      </c>
      <c r="R496" s="37">
        <f>VLOOKUP(Table1[[#This Row],[INSTANT]],[1]dataset_2!$A:$G,5,0)</f>
        <v>1</v>
      </c>
      <c r="S496" s="38">
        <f>VLOOKUP(Table1[[#This Row],[INSTANT]],[1]dataset_2!$A:$G,6,0)</f>
        <v>4</v>
      </c>
      <c r="T496" s="38">
        <f>VLOOKUP(Table1[[#This Row],[INSTANT]],[1]dataset_2!$A:$G,7,0)</f>
        <v>5</v>
      </c>
    </row>
    <row r="497" spans="1:20" ht="13" x14ac:dyDescent="0.15">
      <c r="A497" s="35">
        <v>496</v>
      </c>
      <c r="B497" s="27">
        <v>40565</v>
      </c>
      <c r="C497" s="8" t="str">
        <f t="shared" si="14"/>
        <v>2011</v>
      </c>
      <c r="D497" s="8" t="str">
        <f t="shared" si="15"/>
        <v>22</v>
      </c>
      <c r="E497" s="7">
        <v>1</v>
      </c>
      <c r="F497" s="7">
        <v>0</v>
      </c>
      <c r="G497" s="7">
        <v>1</v>
      </c>
      <c r="H497" s="7">
        <v>17</v>
      </c>
      <c r="I497" s="7" t="b">
        <v>0</v>
      </c>
      <c r="J497" s="22">
        <f>--Table1[[#This Row],[HOLIDAY]]</f>
        <v>0</v>
      </c>
      <c r="K497" s="9">
        <v>6</v>
      </c>
      <c r="L497" s="7">
        <v>1</v>
      </c>
      <c r="M497" s="7">
        <f>LEN(TEXT(Table1[[#This Row],[WEATHER]],"0"))</f>
        <v>1</v>
      </c>
      <c r="N497" s="36">
        <v>0.12</v>
      </c>
      <c r="O497" s="37">
        <f>VLOOKUP(Table1[[#This Row],[INSTANT]],[1]dataset_2!$A:$G,2,FALSE)</f>
        <v>7.5800000000000006E-2</v>
      </c>
      <c r="P497" s="37">
        <f>VLOOKUP(Table1[[#This Row],[INSTANT]],[1]dataset_2!$A:$G,3,0)</f>
        <v>0.56999999999999995</v>
      </c>
      <c r="Q497" s="37">
        <f>VLOOKUP(Table1[[#This Row],[INSTANT]],[1]dataset_2!$A:$D,4,FALSE)</f>
        <v>0.1045</v>
      </c>
      <c r="R497" s="37">
        <f>VLOOKUP(Table1[[#This Row],[INSTANT]],[1]dataset_2!$A:$G,5,0)</f>
        <v>0</v>
      </c>
      <c r="S497" s="38">
        <f>VLOOKUP(Table1[[#This Row],[INSTANT]],[1]dataset_2!$A:$G,6,0)</f>
        <v>3</v>
      </c>
      <c r="T497" s="38">
        <f>VLOOKUP(Table1[[#This Row],[INSTANT]],[1]dataset_2!$A:$G,7,0)</f>
        <v>3</v>
      </c>
    </row>
    <row r="498" spans="1:20" ht="13" x14ac:dyDescent="0.15">
      <c r="A498" s="35">
        <v>497</v>
      </c>
      <c r="B498" s="27">
        <v>40565</v>
      </c>
      <c r="C498" s="8" t="str">
        <f t="shared" si="14"/>
        <v>2011</v>
      </c>
      <c r="D498" s="8" t="str">
        <f t="shared" si="15"/>
        <v>22</v>
      </c>
      <c r="E498" s="7">
        <v>1</v>
      </c>
      <c r="F498" s="7">
        <v>0</v>
      </c>
      <c r="G498" s="7">
        <v>1</v>
      </c>
      <c r="H498" s="7">
        <v>18</v>
      </c>
      <c r="I498" s="7" t="b">
        <v>0</v>
      </c>
      <c r="J498" s="22">
        <f>--Table1[[#This Row],[HOLIDAY]]</f>
        <v>0</v>
      </c>
      <c r="K498" s="9">
        <v>6</v>
      </c>
      <c r="L498" s="7">
        <v>1</v>
      </c>
      <c r="M498" s="7">
        <f>LEN(TEXT(Table1[[#This Row],[WEATHER]],"0"))</f>
        <v>1</v>
      </c>
      <c r="N498" s="36">
        <v>0.08</v>
      </c>
      <c r="O498" s="37">
        <f>VLOOKUP(Table1[[#This Row],[INSTANT]],[1]dataset_2!$A:$G,2,FALSE)</f>
        <v>7.5800000000000006E-2</v>
      </c>
      <c r="P498" s="37">
        <f>VLOOKUP(Table1[[#This Row],[INSTANT]],[1]dataset_2!$A:$G,3,0)</f>
        <v>0.56999999999999995</v>
      </c>
      <c r="Q498" s="37">
        <f>VLOOKUP(Table1[[#This Row],[INSTANT]],[1]dataset_2!$A:$D,4,FALSE)</f>
        <v>0.1045</v>
      </c>
      <c r="R498" s="37">
        <f>VLOOKUP(Table1[[#This Row],[INSTANT]],[1]dataset_2!$A:$G,5,0)</f>
        <v>0</v>
      </c>
      <c r="S498" s="38">
        <f>VLOOKUP(Table1[[#This Row],[INSTANT]],[1]dataset_2!$A:$G,6,0)</f>
        <v>1</v>
      </c>
      <c r="T498" s="38">
        <f>VLOOKUP(Table1[[#This Row],[INSTANT]],[1]dataset_2!$A:$G,7,0)</f>
        <v>1</v>
      </c>
    </row>
    <row r="499" spans="1:20" ht="13" x14ac:dyDescent="0.15">
      <c r="A499" s="35">
        <v>498</v>
      </c>
      <c r="B499" s="27">
        <v>40565</v>
      </c>
      <c r="C499" s="8" t="str">
        <f t="shared" si="14"/>
        <v>2011</v>
      </c>
      <c r="D499" s="8" t="str">
        <f t="shared" si="15"/>
        <v>22</v>
      </c>
      <c r="E499" s="7">
        <v>1</v>
      </c>
      <c r="F499" s="7">
        <v>0</v>
      </c>
      <c r="G499" s="7">
        <v>1</v>
      </c>
      <c r="H499" s="7">
        <v>19</v>
      </c>
      <c r="I499" s="7" t="b">
        <v>0</v>
      </c>
      <c r="J499" s="22">
        <f>--Table1[[#This Row],[HOLIDAY]]</f>
        <v>0</v>
      </c>
      <c r="K499" s="9">
        <v>6</v>
      </c>
      <c r="L499" s="7">
        <v>1</v>
      </c>
      <c r="M499" s="7">
        <f>LEN(TEXT(Table1[[#This Row],[WEATHER]],"0"))</f>
        <v>1</v>
      </c>
      <c r="N499" s="36">
        <v>0.08</v>
      </c>
      <c r="O499" s="37">
        <f>VLOOKUP(Table1[[#This Row],[INSTANT]],[1]dataset_2!$A:$G,2,FALSE)</f>
        <v>0.1061</v>
      </c>
      <c r="P499" s="37">
        <f>VLOOKUP(Table1[[#This Row],[INSTANT]],[1]dataset_2!$A:$G,3,0)</f>
        <v>0.57999999999999996</v>
      </c>
      <c r="Q499" s="37">
        <f>VLOOKUP(Table1[[#This Row],[INSTANT]],[1]dataset_2!$A:$D,4,FALSE)</f>
        <v>0.16420000000000001</v>
      </c>
      <c r="R499" s="37">
        <f>VLOOKUP(Table1[[#This Row],[INSTANT]],[1]dataset_2!$A:$G,5,0)</f>
        <v>1</v>
      </c>
      <c r="S499" s="38">
        <f>VLOOKUP(Table1[[#This Row],[INSTANT]],[1]dataset_2!$A:$G,6,0)</f>
        <v>1</v>
      </c>
      <c r="T499" s="38">
        <f>VLOOKUP(Table1[[#This Row],[INSTANT]],[1]dataset_2!$A:$G,7,0)</f>
        <v>2</v>
      </c>
    </row>
    <row r="500" spans="1:20" ht="13" x14ac:dyDescent="0.15">
      <c r="A500" s="35">
        <v>499</v>
      </c>
      <c r="B500" s="27">
        <v>40565</v>
      </c>
      <c r="C500" s="8" t="str">
        <f t="shared" si="14"/>
        <v>2011</v>
      </c>
      <c r="D500" s="8" t="str">
        <f t="shared" si="15"/>
        <v>22</v>
      </c>
      <c r="E500" s="7">
        <v>1</v>
      </c>
      <c r="F500" s="7">
        <v>0</v>
      </c>
      <c r="G500" s="7">
        <v>1</v>
      </c>
      <c r="H500" s="7">
        <v>20</v>
      </c>
      <c r="I500" s="7" t="b">
        <v>0</v>
      </c>
      <c r="J500" s="22">
        <f>--Table1[[#This Row],[HOLIDAY]]</f>
        <v>0</v>
      </c>
      <c r="K500" s="9">
        <v>6</v>
      </c>
      <c r="L500" s="7">
        <v>1</v>
      </c>
      <c r="M500" s="7">
        <f>LEN(TEXT(Table1[[#This Row],[WEATHER]],"0"))</f>
        <v>1</v>
      </c>
      <c r="N500" s="36">
        <v>0.06</v>
      </c>
      <c r="O500" s="37">
        <f>VLOOKUP(Table1[[#This Row],[INSTANT]],[1]dataset_2!$A:$G,2,FALSE)</f>
        <v>7.5800000000000006E-2</v>
      </c>
      <c r="P500" s="37">
        <f>VLOOKUP(Table1[[#This Row],[INSTANT]],[1]dataset_2!$A:$G,3,0)</f>
        <v>0.62</v>
      </c>
      <c r="Q500" s="37">
        <f>VLOOKUP(Table1[[#This Row],[INSTANT]],[1]dataset_2!$A:$D,4,FALSE)</f>
        <v>0.16420000000000001</v>
      </c>
      <c r="R500" s="37">
        <f>VLOOKUP(Table1[[#This Row],[INSTANT]],[1]dataset_2!$A:$G,5,0)</f>
        <v>2</v>
      </c>
      <c r="S500" s="38">
        <f>VLOOKUP(Table1[[#This Row],[INSTANT]],[1]dataset_2!$A:$G,6,0)</f>
        <v>17</v>
      </c>
      <c r="T500" s="38">
        <f>VLOOKUP(Table1[[#This Row],[INSTANT]],[1]dataset_2!$A:$G,7,0)</f>
        <v>19</v>
      </c>
    </row>
    <row r="501" spans="1:20" ht="13" x14ac:dyDescent="0.15">
      <c r="A501" s="35">
        <v>500</v>
      </c>
      <c r="B501" s="27">
        <v>40565</v>
      </c>
      <c r="C501" s="8" t="str">
        <f t="shared" si="14"/>
        <v>2011</v>
      </c>
      <c r="D501" s="8" t="str">
        <f t="shared" si="15"/>
        <v>22</v>
      </c>
      <c r="E501" s="7">
        <v>1</v>
      </c>
      <c r="F501" s="7">
        <v>0</v>
      </c>
      <c r="G501" s="7">
        <v>1</v>
      </c>
      <c r="H501" s="7">
        <v>21</v>
      </c>
      <c r="I501" s="7" t="b">
        <v>0</v>
      </c>
      <c r="J501" s="22">
        <f>--Table1[[#This Row],[HOLIDAY]]</f>
        <v>0</v>
      </c>
      <c r="K501" s="9">
        <v>6</v>
      </c>
      <c r="L501" s="7">
        <v>1</v>
      </c>
      <c r="M501" s="7">
        <f>LEN(TEXT(Table1[[#This Row],[WEATHER]],"0"))</f>
        <v>1</v>
      </c>
      <c r="N501" s="36">
        <v>0.06</v>
      </c>
      <c r="O501" s="37">
        <f>VLOOKUP(Table1[[#This Row],[INSTANT]],[1]dataset_2!$A:$G,2,FALSE)</f>
        <v>7.5800000000000006E-2</v>
      </c>
      <c r="P501" s="37">
        <f>VLOOKUP(Table1[[#This Row],[INSTANT]],[1]dataset_2!$A:$G,3,0)</f>
        <v>0.54</v>
      </c>
      <c r="Q501" s="37">
        <f>VLOOKUP(Table1[[#This Row],[INSTANT]],[1]dataset_2!$A:$D,4,FALSE)</f>
        <v>0.35820000000000002</v>
      </c>
      <c r="R501" s="37">
        <f>VLOOKUP(Table1[[#This Row],[INSTANT]],[1]dataset_2!$A:$G,5,0)</f>
        <v>3</v>
      </c>
      <c r="S501" s="38">
        <f>VLOOKUP(Table1[[#This Row],[INSTANT]],[1]dataset_2!$A:$G,6,0)</f>
        <v>25</v>
      </c>
      <c r="T501" s="38">
        <f>VLOOKUP(Table1[[#This Row],[INSTANT]],[1]dataset_2!$A:$G,7,0)</f>
        <v>28</v>
      </c>
    </row>
    <row r="502" spans="1:20" ht="13" x14ac:dyDescent="0.15">
      <c r="A502" s="35">
        <v>501</v>
      </c>
      <c r="B502" s="27">
        <v>40565</v>
      </c>
      <c r="C502" s="8" t="str">
        <f t="shared" si="14"/>
        <v>2011</v>
      </c>
      <c r="D502" s="8" t="str">
        <f t="shared" si="15"/>
        <v>22</v>
      </c>
      <c r="E502" s="7">
        <v>1</v>
      </c>
      <c r="F502" s="7">
        <v>0</v>
      </c>
      <c r="G502" s="7">
        <v>1</v>
      </c>
      <c r="H502" s="7">
        <v>22</v>
      </c>
      <c r="I502" s="7" t="b">
        <v>0</v>
      </c>
      <c r="J502" s="22">
        <f>--Table1[[#This Row],[HOLIDAY]]</f>
        <v>0</v>
      </c>
      <c r="K502" s="9">
        <v>6</v>
      </c>
      <c r="L502" s="7">
        <v>1</v>
      </c>
      <c r="M502" s="7">
        <f>LEN(TEXT(Table1[[#This Row],[WEATHER]],"0"))</f>
        <v>1</v>
      </c>
      <c r="N502" s="36">
        <v>0.06</v>
      </c>
      <c r="O502" s="37">
        <f>VLOOKUP(Table1[[#This Row],[INSTANT]],[1]dataset_2!$A:$G,2,FALSE)</f>
        <v>0.1061</v>
      </c>
      <c r="P502" s="37">
        <f>VLOOKUP(Table1[[#This Row],[INSTANT]],[1]dataset_2!$A:$G,3,0)</f>
        <v>0.46</v>
      </c>
      <c r="Q502" s="37">
        <f>VLOOKUP(Table1[[#This Row],[INSTANT]],[1]dataset_2!$A:$D,4,FALSE)</f>
        <v>0.3881</v>
      </c>
      <c r="R502" s="37">
        <f>VLOOKUP(Table1[[#This Row],[INSTANT]],[1]dataset_2!$A:$G,5,0)</f>
        <v>7</v>
      </c>
      <c r="S502" s="38">
        <f>VLOOKUP(Table1[[#This Row],[INSTANT]],[1]dataset_2!$A:$G,6,0)</f>
        <v>51</v>
      </c>
      <c r="T502" s="38">
        <f>VLOOKUP(Table1[[#This Row],[INSTANT]],[1]dataset_2!$A:$G,7,0)</f>
        <v>58</v>
      </c>
    </row>
    <row r="503" spans="1:20" ht="13" x14ac:dyDescent="0.15">
      <c r="A503" s="35">
        <v>502</v>
      </c>
      <c r="B503" s="27">
        <v>40565</v>
      </c>
      <c r="C503" s="8" t="str">
        <f t="shared" si="14"/>
        <v>2011</v>
      </c>
      <c r="D503" s="8" t="str">
        <f t="shared" si="15"/>
        <v>22</v>
      </c>
      <c r="E503" s="7">
        <v>1</v>
      </c>
      <c r="F503" s="7">
        <v>0</v>
      </c>
      <c r="G503" s="7">
        <v>1</v>
      </c>
      <c r="H503" s="7">
        <v>23</v>
      </c>
      <c r="I503" s="7" t="b">
        <v>0</v>
      </c>
      <c r="J503" s="22">
        <f>--Table1[[#This Row],[HOLIDAY]]</f>
        <v>0</v>
      </c>
      <c r="K503" s="9">
        <v>6</v>
      </c>
      <c r="L503" s="7">
        <v>1</v>
      </c>
      <c r="M503" s="7">
        <f>LEN(TEXT(Table1[[#This Row],[WEATHER]],"0"))</f>
        <v>1</v>
      </c>
      <c r="N503" s="36">
        <v>0.04</v>
      </c>
      <c r="O503" s="37">
        <f>VLOOKUP(Table1[[#This Row],[INSTANT]],[1]dataset_2!$A:$G,2,FALSE)</f>
        <v>0.13639999999999999</v>
      </c>
      <c r="P503" s="37">
        <f>VLOOKUP(Table1[[#This Row],[INSTANT]],[1]dataset_2!$A:$G,3,0)</f>
        <v>0.43</v>
      </c>
      <c r="Q503" s="37">
        <f>VLOOKUP(Table1[[#This Row],[INSTANT]],[1]dataset_2!$A:$D,4,FALSE)</f>
        <v>0.22389999999999999</v>
      </c>
      <c r="R503" s="37">
        <f>VLOOKUP(Table1[[#This Row],[INSTANT]],[1]dataset_2!$A:$G,5,0)</f>
        <v>22</v>
      </c>
      <c r="S503" s="38">
        <f>VLOOKUP(Table1[[#This Row],[INSTANT]],[1]dataset_2!$A:$G,6,0)</f>
        <v>77</v>
      </c>
      <c r="T503" s="38">
        <f>VLOOKUP(Table1[[#This Row],[INSTANT]],[1]dataset_2!$A:$G,7,0)</f>
        <v>99</v>
      </c>
    </row>
    <row r="504" spans="1:20" ht="13" x14ac:dyDescent="0.15">
      <c r="A504" s="35">
        <v>503</v>
      </c>
      <c r="B504" s="27">
        <v>40566</v>
      </c>
      <c r="C504" s="8" t="str">
        <f t="shared" si="14"/>
        <v>2011</v>
      </c>
      <c r="D504" s="8" t="str">
        <f t="shared" si="15"/>
        <v>23</v>
      </c>
      <c r="E504" s="7">
        <v>1</v>
      </c>
      <c r="F504" s="7">
        <v>0</v>
      </c>
      <c r="G504" s="7">
        <v>1</v>
      </c>
      <c r="H504" s="7">
        <v>0</v>
      </c>
      <c r="I504" s="7" t="b">
        <v>0</v>
      </c>
      <c r="J504" s="22">
        <f>--Table1[[#This Row],[HOLIDAY]]</f>
        <v>0</v>
      </c>
      <c r="K504" s="9">
        <v>0</v>
      </c>
      <c r="L504" s="7">
        <v>1</v>
      </c>
      <c r="M504" s="7">
        <f>LEN(TEXT(Table1[[#This Row],[WEATHER]],"0"))</f>
        <v>1</v>
      </c>
      <c r="N504" s="36">
        <v>0.04</v>
      </c>
      <c r="O504" s="37">
        <f>VLOOKUP(Table1[[#This Row],[INSTANT]],[1]dataset_2!$A:$G,2,FALSE)</f>
        <v>0.1212</v>
      </c>
      <c r="P504" s="37">
        <f>VLOOKUP(Table1[[#This Row],[INSTANT]],[1]dataset_2!$A:$G,3,0)</f>
        <v>0.37</v>
      </c>
      <c r="Q504" s="37">
        <f>VLOOKUP(Table1[[#This Row],[INSTANT]],[1]dataset_2!$A:$D,4,FALSE)</f>
        <v>0.4627</v>
      </c>
      <c r="R504" s="37">
        <f>VLOOKUP(Table1[[#This Row],[INSTANT]],[1]dataset_2!$A:$G,5,0)</f>
        <v>24</v>
      </c>
      <c r="S504" s="38">
        <f>VLOOKUP(Table1[[#This Row],[INSTANT]],[1]dataset_2!$A:$G,6,0)</f>
        <v>92</v>
      </c>
      <c r="T504" s="38">
        <f>VLOOKUP(Table1[[#This Row],[INSTANT]],[1]dataset_2!$A:$G,7,0)</f>
        <v>116</v>
      </c>
    </row>
    <row r="505" spans="1:20" ht="13" x14ac:dyDescent="0.15">
      <c r="A505" s="35">
        <v>504</v>
      </c>
      <c r="B505" s="27">
        <v>40566</v>
      </c>
      <c r="C505" s="8" t="str">
        <f t="shared" si="14"/>
        <v>2011</v>
      </c>
      <c r="D505" s="8" t="str">
        <f t="shared" si="15"/>
        <v>23</v>
      </c>
      <c r="E505" s="7">
        <v>1</v>
      </c>
      <c r="F505" s="7">
        <v>0</v>
      </c>
      <c r="G505" s="7">
        <v>1</v>
      </c>
      <c r="H505" s="7">
        <v>1</v>
      </c>
      <c r="I505" s="7" t="b">
        <v>0</v>
      </c>
      <c r="J505" s="22">
        <f>--Table1[[#This Row],[HOLIDAY]]</f>
        <v>0</v>
      </c>
      <c r="K505" s="9">
        <v>0</v>
      </c>
      <c r="L505" s="7">
        <v>1</v>
      </c>
      <c r="M505" s="7">
        <f>LEN(TEXT(Table1[[#This Row],[WEATHER]],"0"))</f>
        <v>1</v>
      </c>
      <c r="N505" s="36">
        <v>0.04</v>
      </c>
      <c r="O505" s="37">
        <f>VLOOKUP(Table1[[#This Row],[INSTANT]],[1]dataset_2!$A:$G,2,FALSE)</f>
        <v>0.1061</v>
      </c>
      <c r="P505" s="37">
        <f>VLOOKUP(Table1[[#This Row],[INSTANT]],[1]dataset_2!$A:$G,3,0)</f>
        <v>0.33</v>
      </c>
      <c r="Q505" s="37">
        <f>VLOOKUP(Table1[[#This Row],[INSTANT]],[1]dataset_2!$A:$D,4,FALSE)</f>
        <v>0.3881</v>
      </c>
      <c r="R505" s="37">
        <f>VLOOKUP(Table1[[#This Row],[INSTANT]],[1]dataset_2!$A:$G,5,0)</f>
        <v>12</v>
      </c>
      <c r="S505" s="38">
        <f>VLOOKUP(Table1[[#This Row],[INSTANT]],[1]dataset_2!$A:$G,6,0)</f>
        <v>75</v>
      </c>
      <c r="T505" s="38">
        <f>VLOOKUP(Table1[[#This Row],[INSTANT]],[1]dataset_2!$A:$G,7,0)</f>
        <v>87</v>
      </c>
    </row>
    <row r="506" spans="1:20" ht="13" x14ac:dyDescent="0.15">
      <c r="A506" s="35">
        <v>505</v>
      </c>
      <c r="B506" s="27">
        <v>40566</v>
      </c>
      <c r="C506" s="8" t="str">
        <f t="shared" si="14"/>
        <v>2011</v>
      </c>
      <c r="D506" s="8" t="str">
        <f t="shared" si="15"/>
        <v>23</v>
      </c>
      <c r="E506" s="7">
        <v>1</v>
      </c>
      <c r="F506" s="7">
        <v>0</v>
      </c>
      <c r="G506" s="7">
        <v>1</v>
      </c>
      <c r="H506" s="7">
        <v>2</v>
      </c>
      <c r="I506" s="7" t="b">
        <v>0</v>
      </c>
      <c r="J506" s="22">
        <f>--Table1[[#This Row],[HOLIDAY]]</f>
        <v>0</v>
      </c>
      <c r="K506" s="9">
        <v>0</v>
      </c>
      <c r="L506" s="7">
        <v>1</v>
      </c>
      <c r="M506" s="7">
        <f>LEN(TEXT(Table1[[#This Row],[WEATHER]],"0"))</f>
        <v>1</v>
      </c>
      <c r="N506" s="36">
        <v>0.02</v>
      </c>
      <c r="O506" s="37">
        <f>VLOOKUP(Table1[[#This Row],[INSTANT]],[1]dataset_2!$A:$G,2,FALSE)</f>
        <v>0.13639999999999999</v>
      </c>
      <c r="P506" s="37">
        <f>VLOOKUP(Table1[[#This Row],[INSTANT]],[1]dataset_2!$A:$G,3,0)</f>
        <v>0.28000000000000003</v>
      </c>
      <c r="Q506" s="37">
        <f>VLOOKUP(Table1[[#This Row],[INSTANT]],[1]dataset_2!$A:$D,4,FALSE)</f>
        <v>0.35820000000000002</v>
      </c>
      <c r="R506" s="37">
        <f>VLOOKUP(Table1[[#This Row],[INSTANT]],[1]dataset_2!$A:$G,5,0)</f>
        <v>17</v>
      </c>
      <c r="S506" s="38">
        <f>VLOOKUP(Table1[[#This Row],[INSTANT]],[1]dataset_2!$A:$G,6,0)</f>
        <v>93</v>
      </c>
      <c r="T506" s="38">
        <f>VLOOKUP(Table1[[#This Row],[INSTANT]],[1]dataset_2!$A:$G,7,0)</f>
        <v>110</v>
      </c>
    </row>
    <row r="507" spans="1:20" ht="13" x14ac:dyDescent="0.15">
      <c r="A507" s="35">
        <v>506</v>
      </c>
      <c r="B507" s="27">
        <v>40566</v>
      </c>
      <c r="C507" s="8" t="str">
        <f t="shared" si="14"/>
        <v>2011</v>
      </c>
      <c r="D507" s="8" t="str">
        <f t="shared" si="15"/>
        <v>23</v>
      </c>
      <c r="E507" s="7">
        <v>1</v>
      </c>
      <c r="F507" s="7">
        <v>0</v>
      </c>
      <c r="G507" s="7">
        <v>1</v>
      </c>
      <c r="H507" s="7">
        <v>3</v>
      </c>
      <c r="I507" s="7" t="b">
        <v>0</v>
      </c>
      <c r="J507" s="22">
        <f>--Table1[[#This Row],[HOLIDAY]]</f>
        <v>0</v>
      </c>
      <c r="K507" s="9">
        <v>0</v>
      </c>
      <c r="L507" s="7">
        <v>1</v>
      </c>
      <c r="M507" s="7">
        <f>LEN(TEXT(Table1[[#This Row],[WEATHER]],"0"))</f>
        <v>1</v>
      </c>
      <c r="N507" s="36">
        <v>0.02</v>
      </c>
      <c r="O507" s="37">
        <f>VLOOKUP(Table1[[#This Row],[INSTANT]],[1]dataset_2!$A:$G,2,FALSE)</f>
        <v>0.13639999999999999</v>
      </c>
      <c r="P507" s="37">
        <f>VLOOKUP(Table1[[#This Row],[INSTANT]],[1]dataset_2!$A:$G,3,0)</f>
        <v>0.28000000000000003</v>
      </c>
      <c r="Q507" s="37">
        <f>VLOOKUP(Table1[[#This Row],[INSTANT]],[1]dataset_2!$A:$D,4,FALSE)</f>
        <v>0.35820000000000002</v>
      </c>
      <c r="R507" s="37">
        <f>VLOOKUP(Table1[[#This Row],[INSTANT]],[1]dataset_2!$A:$G,5,0)</f>
        <v>13</v>
      </c>
      <c r="S507" s="38">
        <f>VLOOKUP(Table1[[#This Row],[INSTANT]],[1]dataset_2!$A:$G,6,0)</f>
        <v>64</v>
      </c>
      <c r="T507" s="38">
        <f>VLOOKUP(Table1[[#This Row],[INSTANT]],[1]dataset_2!$A:$G,7,0)</f>
        <v>77</v>
      </c>
    </row>
    <row r="508" spans="1:20" ht="13" x14ac:dyDescent="0.15">
      <c r="A508" s="35">
        <v>507</v>
      </c>
      <c r="B508" s="27">
        <v>40566</v>
      </c>
      <c r="C508" s="8" t="str">
        <f t="shared" si="14"/>
        <v>2011</v>
      </c>
      <c r="D508" s="8" t="str">
        <f t="shared" si="15"/>
        <v>23</v>
      </c>
      <c r="E508" s="7">
        <v>1</v>
      </c>
      <c r="F508" s="7">
        <v>0</v>
      </c>
      <c r="G508" s="7">
        <v>1</v>
      </c>
      <c r="H508" s="7">
        <v>5</v>
      </c>
      <c r="I508" s="7" t="b">
        <v>0</v>
      </c>
      <c r="J508" s="22">
        <f>--Table1[[#This Row],[HOLIDAY]]</f>
        <v>0</v>
      </c>
      <c r="K508" s="9">
        <v>0</v>
      </c>
      <c r="L508" s="7">
        <v>2</v>
      </c>
      <c r="M508" s="7">
        <f>LEN(TEXT(Table1[[#This Row],[WEATHER]],"0"))</f>
        <v>1</v>
      </c>
      <c r="N508" s="36">
        <v>0.04</v>
      </c>
      <c r="O508" s="37">
        <f>VLOOKUP(Table1[[#This Row],[INSTANT]],[1]dataset_2!$A:$G,2,FALSE)</f>
        <v>0.13639999999999999</v>
      </c>
      <c r="P508" s="37">
        <f>VLOOKUP(Table1[[#This Row],[INSTANT]],[1]dataset_2!$A:$G,3,0)</f>
        <v>0.26</v>
      </c>
      <c r="Q508" s="37">
        <f>VLOOKUP(Table1[[#This Row],[INSTANT]],[1]dataset_2!$A:$D,4,FALSE)</f>
        <v>0.32840000000000003</v>
      </c>
      <c r="R508" s="37">
        <f>VLOOKUP(Table1[[#This Row],[INSTANT]],[1]dataset_2!$A:$G,5,0)</f>
        <v>9</v>
      </c>
      <c r="S508" s="38">
        <f>VLOOKUP(Table1[[#This Row],[INSTANT]],[1]dataset_2!$A:$G,6,0)</f>
        <v>56</v>
      </c>
      <c r="T508" s="38">
        <f>VLOOKUP(Table1[[#This Row],[INSTANT]],[1]dataset_2!$A:$G,7,0)</f>
        <v>65</v>
      </c>
    </row>
    <row r="509" spans="1:20" ht="13" x14ac:dyDescent="0.15">
      <c r="A509" s="35">
        <v>508</v>
      </c>
      <c r="B509" s="27">
        <v>40566</v>
      </c>
      <c r="C509" s="8" t="str">
        <f t="shared" si="14"/>
        <v>2011</v>
      </c>
      <c r="D509" s="8" t="str">
        <f t="shared" si="15"/>
        <v>23</v>
      </c>
      <c r="E509" s="7">
        <v>1</v>
      </c>
      <c r="F509" s="7">
        <v>0</v>
      </c>
      <c r="G509" s="7">
        <v>1</v>
      </c>
      <c r="H509" s="7">
        <v>6</v>
      </c>
      <c r="I509" s="7" t="b">
        <v>0</v>
      </c>
      <c r="J509" s="22">
        <f>--Table1[[#This Row],[HOLIDAY]]</f>
        <v>0</v>
      </c>
      <c r="K509" s="9">
        <v>0</v>
      </c>
      <c r="L509" s="7">
        <v>2</v>
      </c>
      <c r="M509" s="7">
        <f>LEN(TEXT(Table1[[#This Row],[WEATHER]],"0"))</f>
        <v>1</v>
      </c>
      <c r="N509" s="36">
        <v>0.04</v>
      </c>
      <c r="O509" s="37">
        <f>VLOOKUP(Table1[[#This Row],[INSTANT]],[1]dataset_2!$A:$G,2,FALSE)</f>
        <v>0.1061</v>
      </c>
      <c r="P509" s="37">
        <f>VLOOKUP(Table1[[#This Row],[INSTANT]],[1]dataset_2!$A:$G,3,0)</f>
        <v>0.26</v>
      </c>
      <c r="Q509" s="37">
        <f>VLOOKUP(Table1[[#This Row],[INSTANT]],[1]dataset_2!$A:$D,4,FALSE)</f>
        <v>0.3881</v>
      </c>
      <c r="R509" s="37">
        <f>VLOOKUP(Table1[[#This Row],[INSTANT]],[1]dataset_2!$A:$G,5,0)</f>
        <v>5</v>
      </c>
      <c r="S509" s="38">
        <f>VLOOKUP(Table1[[#This Row],[INSTANT]],[1]dataset_2!$A:$G,6,0)</f>
        <v>50</v>
      </c>
      <c r="T509" s="38">
        <f>VLOOKUP(Table1[[#This Row],[INSTANT]],[1]dataset_2!$A:$G,7,0)</f>
        <v>55</v>
      </c>
    </row>
    <row r="510" spans="1:20" ht="13" x14ac:dyDescent="0.15">
      <c r="A510" s="35">
        <v>509</v>
      </c>
      <c r="B510" s="27">
        <v>40566</v>
      </c>
      <c r="C510" s="8" t="str">
        <f t="shared" si="14"/>
        <v>2011</v>
      </c>
      <c r="D510" s="8" t="str">
        <f t="shared" si="15"/>
        <v>23</v>
      </c>
      <c r="E510" s="7">
        <v>1</v>
      </c>
      <c r="F510" s="7">
        <v>0</v>
      </c>
      <c r="G510" s="7">
        <v>1</v>
      </c>
      <c r="H510" s="7">
        <v>7</v>
      </c>
      <c r="I510" s="7" t="b">
        <v>0</v>
      </c>
      <c r="J510" s="22">
        <f>--Table1[[#This Row],[HOLIDAY]]</f>
        <v>0</v>
      </c>
      <c r="K510" s="9">
        <v>0</v>
      </c>
      <c r="L510" s="7">
        <v>1</v>
      </c>
      <c r="M510" s="7">
        <f>LEN(TEXT(Table1[[#This Row],[WEATHER]],"0"))</f>
        <v>1</v>
      </c>
      <c r="N510" s="36">
        <v>0.08</v>
      </c>
      <c r="O510" s="37">
        <f>VLOOKUP(Table1[[#This Row],[INSTANT]],[1]dataset_2!$A:$G,2,FALSE)</f>
        <v>0.1212</v>
      </c>
      <c r="P510" s="37">
        <f>VLOOKUP(Table1[[#This Row],[INSTANT]],[1]dataset_2!$A:$G,3,0)</f>
        <v>0.3</v>
      </c>
      <c r="Q510" s="37">
        <f>VLOOKUP(Table1[[#This Row],[INSTANT]],[1]dataset_2!$A:$D,4,FALSE)</f>
        <v>0.25369999999999998</v>
      </c>
      <c r="R510" s="37">
        <f>VLOOKUP(Table1[[#This Row],[INSTANT]],[1]dataset_2!$A:$G,5,0)</f>
        <v>5</v>
      </c>
      <c r="S510" s="38">
        <f>VLOOKUP(Table1[[#This Row],[INSTANT]],[1]dataset_2!$A:$G,6,0)</f>
        <v>44</v>
      </c>
      <c r="T510" s="38">
        <f>VLOOKUP(Table1[[#This Row],[INSTANT]],[1]dataset_2!$A:$G,7,0)</f>
        <v>49</v>
      </c>
    </row>
    <row r="511" spans="1:20" ht="13" x14ac:dyDescent="0.15">
      <c r="A511" s="35">
        <v>510</v>
      </c>
      <c r="B511" s="27">
        <v>40566</v>
      </c>
      <c r="C511" s="8" t="str">
        <f t="shared" si="14"/>
        <v>2011</v>
      </c>
      <c r="D511" s="8" t="str">
        <f t="shared" si="15"/>
        <v>23</v>
      </c>
      <c r="E511" s="7">
        <v>1</v>
      </c>
      <c r="F511" s="7">
        <v>0</v>
      </c>
      <c r="G511" s="7">
        <v>1</v>
      </c>
      <c r="H511" s="7">
        <v>8</v>
      </c>
      <c r="I511" s="7" t="b">
        <v>0</v>
      </c>
      <c r="J511" s="22">
        <f>--Table1[[#This Row],[HOLIDAY]]</f>
        <v>0</v>
      </c>
      <c r="K511" s="9">
        <v>0</v>
      </c>
      <c r="L511" s="7">
        <v>1</v>
      </c>
      <c r="M511" s="7">
        <f>LEN(TEXT(Table1[[#This Row],[WEATHER]],"0"))</f>
        <v>1</v>
      </c>
      <c r="N511" s="36">
        <v>0.06</v>
      </c>
      <c r="O511" s="37">
        <f>VLOOKUP(Table1[[#This Row],[INSTANT]],[1]dataset_2!$A:$G,2,FALSE)</f>
        <v>0.1212</v>
      </c>
      <c r="P511" s="37">
        <f>VLOOKUP(Table1[[#This Row],[INSTANT]],[1]dataset_2!$A:$G,3,0)</f>
        <v>0.3</v>
      </c>
      <c r="Q511" s="37">
        <f>VLOOKUP(Table1[[#This Row],[INSTANT]],[1]dataset_2!$A:$D,4,FALSE)</f>
        <v>0.28360000000000002</v>
      </c>
      <c r="R511" s="37">
        <f>VLOOKUP(Table1[[#This Row],[INSTANT]],[1]dataset_2!$A:$G,5,0)</f>
        <v>5</v>
      </c>
      <c r="S511" s="38">
        <f>VLOOKUP(Table1[[#This Row],[INSTANT]],[1]dataset_2!$A:$G,6,0)</f>
        <v>45</v>
      </c>
      <c r="T511" s="38">
        <f>VLOOKUP(Table1[[#This Row],[INSTANT]],[1]dataset_2!$A:$G,7,0)</f>
        <v>50</v>
      </c>
    </row>
    <row r="512" spans="1:20" ht="13" x14ac:dyDescent="0.15">
      <c r="A512" s="35">
        <v>511</v>
      </c>
      <c r="B512" s="27">
        <v>40566</v>
      </c>
      <c r="C512" s="8" t="str">
        <f t="shared" si="14"/>
        <v>2011</v>
      </c>
      <c r="D512" s="8" t="str">
        <f t="shared" si="15"/>
        <v>23</v>
      </c>
      <c r="E512" s="7">
        <v>1</v>
      </c>
      <c r="F512" s="7">
        <v>0</v>
      </c>
      <c r="G512" s="7">
        <v>1</v>
      </c>
      <c r="H512" s="7">
        <v>9</v>
      </c>
      <c r="I512" s="7" t="b">
        <v>0</v>
      </c>
      <c r="J512" s="22">
        <f>--Table1[[#This Row],[HOLIDAY]]</f>
        <v>0</v>
      </c>
      <c r="K512" s="9">
        <v>0</v>
      </c>
      <c r="L512" s="7">
        <v>1</v>
      </c>
      <c r="M512" s="7">
        <f>LEN(TEXT(Table1[[#This Row],[WEATHER]],"0"))</f>
        <v>1</v>
      </c>
      <c r="N512" s="36">
        <v>0.1</v>
      </c>
      <c r="O512" s="37">
        <f>VLOOKUP(Table1[[#This Row],[INSTANT]],[1]dataset_2!$A:$G,2,FALSE)</f>
        <v>0.1061</v>
      </c>
      <c r="P512" s="37">
        <f>VLOOKUP(Table1[[#This Row],[INSTANT]],[1]dataset_2!$A:$G,3,0)</f>
        <v>0.36</v>
      </c>
      <c r="Q512" s="37">
        <f>VLOOKUP(Table1[[#This Row],[INSTANT]],[1]dataset_2!$A:$D,4,FALSE)</f>
        <v>0.25369999999999998</v>
      </c>
      <c r="R512" s="37">
        <f>VLOOKUP(Table1[[#This Row],[INSTANT]],[1]dataset_2!$A:$G,5,0)</f>
        <v>4</v>
      </c>
      <c r="S512" s="38">
        <f>VLOOKUP(Table1[[#This Row],[INSTANT]],[1]dataset_2!$A:$G,6,0)</f>
        <v>31</v>
      </c>
      <c r="T512" s="38">
        <f>VLOOKUP(Table1[[#This Row],[INSTANT]],[1]dataset_2!$A:$G,7,0)</f>
        <v>35</v>
      </c>
    </row>
    <row r="513" spans="1:20" ht="13" x14ac:dyDescent="0.15">
      <c r="A513" s="35">
        <v>512</v>
      </c>
      <c r="B513" s="27">
        <v>40566</v>
      </c>
      <c r="C513" s="8" t="str">
        <f t="shared" si="14"/>
        <v>2011</v>
      </c>
      <c r="D513" s="8" t="str">
        <f t="shared" si="15"/>
        <v>23</v>
      </c>
      <c r="E513" s="7">
        <v>1</v>
      </c>
      <c r="F513" s="7">
        <v>0</v>
      </c>
      <c r="G513" s="7">
        <v>1</v>
      </c>
      <c r="H513" s="7">
        <v>10</v>
      </c>
      <c r="I513" s="7" t="b">
        <v>0</v>
      </c>
      <c r="J513" s="22">
        <f>--Table1[[#This Row],[HOLIDAY]]</f>
        <v>0</v>
      </c>
      <c r="K513" s="9">
        <v>0</v>
      </c>
      <c r="L513" s="7">
        <v>1</v>
      </c>
      <c r="M513" s="7">
        <f>LEN(TEXT(Table1[[#This Row],[WEATHER]],"0"))</f>
        <v>1</v>
      </c>
      <c r="N513" s="36">
        <v>0.14000000000000001</v>
      </c>
      <c r="O513" s="37">
        <f>VLOOKUP(Table1[[#This Row],[INSTANT]],[1]dataset_2!$A:$G,2,FALSE)</f>
        <v>0.1061</v>
      </c>
      <c r="P513" s="37">
        <f>VLOOKUP(Table1[[#This Row],[INSTANT]],[1]dataset_2!$A:$G,3,0)</f>
        <v>0.36</v>
      </c>
      <c r="Q513" s="37">
        <f>VLOOKUP(Table1[[#This Row],[INSTANT]],[1]dataset_2!$A:$D,4,FALSE)</f>
        <v>0.19400000000000001</v>
      </c>
      <c r="R513" s="37">
        <f>VLOOKUP(Table1[[#This Row],[INSTANT]],[1]dataset_2!$A:$G,5,0)</f>
        <v>5</v>
      </c>
      <c r="S513" s="38">
        <f>VLOOKUP(Table1[[#This Row],[INSTANT]],[1]dataset_2!$A:$G,6,0)</f>
        <v>20</v>
      </c>
      <c r="T513" s="38">
        <f>VLOOKUP(Table1[[#This Row],[INSTANT]],[1]dataset_2!$A:$G,7,0)</f>
        <v>25</v>
      </c>
    </row>
    <row r="514" spans="1:20" ht="13" x14ac:dyDescent="0.15">
      <c r="A514" s="35">
        <v>513</v>
      </c>
      <c r="B514" s="27">
        <v>40566</v>
      </c>
      <c r="C514" s="8" t="str">
        <f t="shared" ref="C514:C577" si="16">RIGHT(TEXT(B515,"DD-MM-YYYY"),4)</f>
        <v>2011</v>
      </c>
      <c r="D514" s="8" t="str">
        <f t="shared" ref="D514:D577" si="17">LEFT(TEXT(B514,"DD-MM-YYYY"),2)</f>
        <v>23</v>
      </c>
      <c r="E514" s="7">
        <v>1</v>
      </c>
      <c r="F514" s="7">
        <v>0</v>
      </c>
      <c r="G514" s="7">
        <v>1</v>
      </c>
      <c r="H514" s="7">
        <v>11</v>
      </c>
      <c r="I514" s="7" t="b">
        <v>0</v>
      </c>
      <c r="J514" s="22">
        <f>--Table1[[#This Row],[HOLIDAY]]</f>
        <v>0</v>
      </c>
      <c r="K514" s="9">
        <v>0</v>
      </c>
      <c r="L514" s="7">
        <v>1</v>
      </c>
      <c r="M514" s="7">
        <f>LEN(TEXT(Table1[[#This Row],[WEATHER]],"0"))</f>
        <v>1</v>
      </c>
      <c r="N514" s="36">
        <v>0.14000000000000001</v>
      </c>
      <c r="O514" s="37">
        <f>VLOOKUP(Table1[[#This Row],[INSTANT]],[1]dataset_2!$A:$G,2,FALSE)</f>
        <v>9.0899999999999995E-2</v>
      </c>
      <c r="P514" s="37">
        <f>VLOOKUP(Table1[[#This Row],[INSTANT]],[1]dataset_2!$A:$G,3,0)</f>
        <v>0.38</v>
      </c>
      <c r="Q514" s="37">
        <f>VLOOKUP(Table1[[#This Row],[INSTANT]],[1]dataset_2!$A:$D,4,FALSE)</f>
        <v>0.19400000000000001</v>
      </c>
      <c r="R514" s="37">
        <f>VLOOKUP(Table1[[#This Row],[INSTANT]],[1]dataset_2!$A:$G,5,0)</f>
        <v>5</v>
      </c>
      <c r="S514" s="38">
        <f>VLOOKUP(Table1[[#This Row],[INSTANT]],[1]dataset_2!$A:$G,6,0)</f>
        <v>23</v>
      </c>
      <c r="T514" s="38">
        <f>VLOOKUP(Table1[[#This Row],[INSTANT]],[1]dataset_2!$A:$G,7,0)</f>
        <v>28</v>
      </c>
    </row>
    <row r="515" spans="1:20" ht="13" x14ac:dyDescent="0.15">
      <c r="A515" s="35">
        <v>514</v>
      </c>
      <c r="B515" s="27">
        <v>40566</v>
      </c>
      <c r="C515" s="8" t="str">
        <f t="shared" si="16"/>
        <v>2011</v>
      </c>
      <c r="D515" s="8" t="str">
        <f t="shared" si="17"/>
        <v>23</v>
      </c>
      <c r="E515" s="7">
        <v>1</v>
      </c>
      <c r="F515" s="7">
        <v>0</v>
      </c>
      <c r="G515" s="7">
        <v>1</v>
      </c>
      <c r="H515" s="7">
        <v>12</v>
      </c>
      <c r="I515" s="7" t="b">
        <v>0</v>
      </c>
      <c r="J515" s="22">
        <f>--Table1[[#This Row],[HOLIDAY]]</f>
        <v>0</v>
      </c>
      <c r="K515" s="9">
        <v>0</v>
      </c>
      <c r="L515" s="7">
        <v>1</v>
      </c>
      <c r="M515" s="7">
        <f>LEN(TEXT(Table1[[#This Row],[WEATHER]],"0"))</f>
        <v>1</v>
      </c>
      <c r="N515" s="36">
        <v>0.16</v>
      </c>
      <c r="O515" s="37">
        <f>VLOOKUP(Table1[[#This Row],[INSTANT]],[1]dataset_2!$A:$G,2,FALSE)</f>
        <v>6.0600000000000001E-2</v>
      </c>
      <c r="P515" s="37">
        <f>VLOOKUP(Table1[[#This Row],[INSTANT]],[1]dataset_2!$A:$G,3,0)</f>
        <v>0.41</v>
      </c>
      <c r="Q515" s="37">
        <f>VLOOKUP(Table1[[#This Row],[INSTANT]],[1]dataset_2!$A:$D,4,FALSE)</f>
        <v>0.22389999999999999</v>
      </c>
      <c r="R515" s="37">
        <f>VLOOKUP(Table1[[#This Row],[INSTANT]],[1]dataset_2!$A:$G,5,0)</f>
        <v>4</v>
      </c>
      <c r="S515" s="38">
        <f>VLOOKUP(Table1[[#This Row],[INSTANT]],[1]dataset_2!$A:$G,6,0)</f>
        <v>17</v>
      </c>
      <c r="T515" s="38">
        <f>VLOOKUP(Table1[[#This Row],[INSTANT]],[1]dataset_2!$A:$G,7,0)</f>
        <v>21</v>
      </c>
    </row>
    <row r="516" spans="1:20" ht="13" x14ac:dyDescent="0.15">
      <c r="A516" s="35">
        <v>515</v>
      </c>
      <c r="B516" s="27">
        <v>40566</v>
      </c>
      <c r="C516" s="8" t="str">
        <f t="shared" si="16"/>
        <v>2011</v>
      </c>
      <c r="D516" s="8" t="str">
        <f t="shared" si="17"/>
        <v>23</v>
      </c>
      <c r="E516" s="7">
        <v>1</v>
      </c>
      <c r="F516" s="7">
        <v>0</v>
      </c>
      <c r="G516" s="7">
        <v>1</v>
      </c>
      <c r="H516" s="7">
        <v>13</v>
      </c>
      <c r="I516" s="7" t="b">
        <v>0</v>
      </c>
      <c r="J516" s="22">
        <f>--Table1[[#This Row],[HOLIDAY]]</f>
        <v>0</v>
      </c>
      <c r="K516" s="9">
        <v>0</v>
      </c>
      <c r="L516" s="7">
        <v>1</v>
      </c>
      <c r="M516" s="7">
        <f>LEN(TEXT(Table1[[#This Row],[WEATHER]],"0"))</f>
        <v>1</v>
      </c>
      <c r="N516" s="36">
        <v>0.14000000000000001</v>
      </c>
      <c r="O516" s="37">
        <f>VLOOKUP(Table1[[#This Row],[INSTANT]],[1]dataset_2!$A:$G,2,FALSE)</f>
        <v>6.0600000000000001E-2</v>
      </c>
      <c r="P516" s="37">
        <f>VLOOKUP(Table1[[#This Row],[INSTANT]],[1]dataset_2!$A:$G,3,0)</f>
        <v>0.41</v>
      </c>
      <c r="Q516" s="37">
        <f>VLOOKUP(Table1[[#This Row],[INSTANT]],[1]dataset_2!$A:$D,4,FALSE)</f>
        <v>0.19400000000000001</v>
      </c>
      <c r="R516" s="37">
        <f>VLOOKUP(Table1[[#This Row],[INSTANT]],[1]dataset_2!$A:$G,5,0)</f>
        <v>0</v>
      </c>
      <c r="S516" s="38">
        <f>VLOOKUP(Table1[[#This Row],[INSTANT]],[1]dataset_2!$A:$G,6,0)</f>
        <v>7</v>
      </c>
      <c r="T516" s="38">
        <f>VLOOKUP(Table1[[#This Row],[INSTANT]],[1]dataset_2!$A:$G,7,0)</f>
        <v>7</v>
      </c>
    </row>
    <row r="517" spans="1:20" ht="13" x14ac:dyDescent="0.15">
      <c r="A517" s="35">
        <v>516</v>
      </c>
      <c r="B517" s="27">
        <v>40566</v>
      </c>
      <c r="C517" s="8" t="str">
        <f t="shared" si="16"/>
        <v>2011</v>
      </c>
      <c r="D517" s="8" t="str">
        <f t="shared" si="17"/>
        <v>23</v>
      </c>
      <c r="E517" s="7">
        <v>1</v>
      </c>
      <c r="F517" s="7">
        <v>0</v>
      </c>
      <c r="G517" s="7">
        <v>1</v>
      </c>
      <c r="H517" s="7">
        <v>14</v>
      </c>
      <c r="I517" s="7" t="b">
        <v>0</v>
      </c>
      <c r="J517" s="22">
        <f>--Table1[[#This Row],[HOLIDAY]]</f>
        <v>0</v>
      </c>
      <c r="K517" s="9">
        <v>0</v>
      </c>
      <c r="L517" s="7">
        <v>1</v>
      </c>
      <c r="M517" s="7">
        <f>LEN(TEXT(Table1[[#This Row],[WEATHER]],"0"))</f>
        <v>1</v>
      </c>
      <c r="N517" s="36">
        <v>0.16</v>
      </c>
      <c r="O517" s="37">
        <f>VLOOKUP(Table1[[#This Row],[INSTANT]],[1]dataset_2!$A:$G,2,FALSE)</f>
        <v>4.5499999999999999E-2</v>
      </c>
      <c r="P517" s="37">
        <f>VLOOKUP(Table1[[#This Row],[INSTANT]],[1]dataset_2!$A:$G,3,0)</f>
        <v>0.45</v>
      </c>
      <c r="Q517" s="37">
        <f>VLOOKUP(Table1[[#This Row],[INSTANT]],[1]dataset_2!$A:$D,4,FALSE)</f>
        <v>0.19400000000000001</v>
      </c>
      <c r="R517" s="37">
        <f>VLOOKUP(Table1[[#This Row],[INSTANT]],[1]dataset_2!$A:$G,5,0)</f>
        <v>0</v>
      </c>
      <c r="S517" s="38">
        <f>VLOOKUP(Table1[[#This Row],[INSTANT]],[1]dataset_2!$A:$G,6,0)</f>
        <v>1</v>
      </c>
      <c r="T517" s="38">
        <f>VLOOKUP(Table1[[#This Row],[INSTANT]],[1]dataset_2!$A:$G,7,0)</f>
        <v>1</v>
      </c>
    </row>
    <row r="518" spans="1:20" ht="13" x14ac:dyDescent="0.15">
      <c r="A518" s="35">
        <v>517</v>
      </c>
      <c r="B518" s="27">
        <v>40566</v>
      </c>
      <c r="C518" s="8" t="str">
        <f t="shared" si="16"/>
        <v>2011</v>
      </c>
      <c r="D518" s="8" t="str">
        <f t="shared" si="17"/>
        <v>23</v>
      </c>
      <c r="E518" s="7">
        <v>1</v>
      </c>
      <c r="F518" s="7">
        <v>0</v>
      </c>
      <c r="G518" s="7">
        <v>1</v>
      </c>
      <c r="H518" s="7">
        <v>15</v>
      </c>
      <c r="I518" s="7" t="b">
        <v>0</v>
      </c>
      <c r="J518" s="22">
        <f>--Table1[[#This Row],[HOLIDAY]]</f>
        <v>0</v>
      </c>
      <c r="K518" s="9">
        <v>0</v>
      </c>
      <c r="L518" s="7">
        <v>1</v>
      </c>
      <c r="M518" s="7">
        <f>LEN(TEXT(Table1[[#This Row],[WEATHER]],"0"))</f>
        <v>1</v>
      </c>
      <c r="N518" s="36">
        <v>0.16</v>
      </c>
      <c r="O518" s="37">
        <f>VLOOKUP(Table1[[#This Row],[INSTANT]],[1]dataset_2!$A:$G,2,FALSE)</f>
        <v>3.0300000000000001E-2</v>
      </c>
      <c r="P518" s="37">
        <f>VLOOKUP(Table1[[#This Row],[INSTANT]],[1]dataset_2!$A:$G,3,0)</f>
        <v>0.45</v>
      </c>
      <c r="Q518" s="37">
        <f>VLOOKUP(Table1[[#This Row],[INSTANT]],[1]dataset_2!$A:$D,4,FALSE)</f>
        <v>0.25369999999999998</v>
      </c>
      <c r="R518" s="37">
        <f>VLOOKUP(Table1[[#This Row],[INSTANT]],[1]dataset_2!$A:$G,5,0)</f>
        <v>0</v>
      </c>
      <c r="S518" s="38">
        <f>VLOOKUP(Table1[[#This Row],[INSTANT]],[1]dataset_2!$A:$G,6,0)</f>
        <v>1</v>
      </c>
      <c r="T518" s="38">
        <f>VLOOKUP(Table1[[#This Row],[INSTANT]],[1]dataset_2!$A:$G,7,0)</f>
        <v>1</v>
      </c>
    </row>
    <row r="519" spans="1:20" ht="13" x14ac:dyDescent="0.15">
      <c r="A519" s="35">
        <v>518</v>
      </c>
      <c r="B519" s="27">
        <v>40566</v>
      </c>
      <c r="C519" s="8" t="str">
        <f t="shared" si="16"/>
        <v>2011</v>
      </c>
      <c r="D519" s="8" t="str">
        <f t="shared" si="17"/>
        <v>23</v>
      </c>
      <c r="E519" s="7">
        <v>1</v>
      </c>
      <c r="F519" s="7">
        <v>0</v>
      </c>
      <c r="G519" s="7">
        <v>1</v>
      </c>
      <c r="H519" s="7">
        <v>16</v>
      </c>
      <c r="I519" s="7" t="b">
        <v>0</v>
      </c>
      <c r="J519" s="22">
        <f>--Table1[[#This Row],[HOLIDAY]]</f>
        <v>0</v>
      </c>
      <c r="K519" s="9">
        <v>0</v>
      </c>
      <c r="L519" s="7">
        <v>1</v>
      </c>
      <c r="M519" s="7">
        <f>LEN(TEXT(Table1[[#This Row],[WEATHER]],"0"))</f>
        <v>1</v>
      </c>
      <c r="N519" s="36">
        <v>0.16</v>
      </c>
      <c r="O519" s="37">
        <f>VLOOKUP(Table1[[#This Row],[INSTANT]],[1]dataset_2!$A:$G,2,FALSE)</f>
        <v>6.0600000000000001E-2</v>
      </c>
      <c r="P519" s="37">
        <f>VLOOKUP(Table1[[#This Row],[INSTANT]],[1]dataset_2!$A:$G,3,0)</f>
        <v>0.48</v>
      </c>
      <c r="Q519" s="37">
        <f>VLOOKUP(Table1[[#This Row],[INSTANT]],[1]dataset_2!$A:$D,4,FALSE)</f>
        <v>0.1343</v>
      </c>
      <c r="R519" s="37">
        <f>VLOOKUP(Table1[[#This Row],[INSTANT]],[1]dataset_2!$A:$G,5,0)</f>
        <v>0</v>
      </c>
      <c r="S519" s="38">
        <f>VLOOKUP(Table1[[#This Row],[INSTANT]],[1]dataset_2!$A:$G,6,0)</f>
        <v>1</v>
      </c>
      <c r="T519" s="38">
        <f>VLOOKUP(Table1[[#This Row],[INSTANT]],[1]dataset_2!$A:$G,7,0)</f>
        <v>1</v>
      </c>
    </row>
    <row r="520" spans="1:20" ht="13" x14ac:dyDescent="0.15">
      <c r="A520" s="35">
        <v>519</v>
      </c>
      <c r="B520" s="27">
        <v>40566</v>
      </c>
      <c r="C520" s="8" t="str">
        <f t="shared" si="16"/>
        <v>2011</v>
      </c>
      <c r="D520" s="8" t="str">
        <f t="shared" si="17"/>
        <v>23</v>
      </c>
      <c r="E520" s="7">
        <v>1</v>
      </c>
      <c r="F520" s="7">
        <v>0</v>
      </c>
      <c r="G520" s="7">
        <v>1</v>
      </c>
      <c r="H520" s="7">
        <v>17</v>
      </c>
      <c r="I520" s="7" t="b">
        <v>0</v>
      </c>
      <c r="J520" s="22">
        <f>--Table1[[#This Row],[HOLIDAY]]</f>
        <v>0</v>
      </c>
      <c r="K520" s="9">
        <v>0</v>
      </c>
      <c r="L520" s="7">
        <v>1</v>
      </c>
      <c r="M520" s="7">
        <f>LEN(TEXT(Table1[[#This Row],[WEATHER]],"0"))</f>
        <v>1</v>
      </c>
      <c r="N520" s="36">
        <v>0.14000000000000001</v>
      </c>
      <c r="O520" s="37">
        <f>VLOOKUP(Table1[[#This Row],[INSTANT]],[1]dataset_2!$A:$G,2,FALSE)</f>
        <v>6.0600000000000001E-2</v>
      </c>
      <c r="P520" s="37">
        <f>VLOOKUP(Table1[[#This Row],[INSTANT]],[1]dataset_2!$A:$G,3,0)</f>
        <v>0.48</v>
      </c>
      <c r="Q520" s="37">
        <f>VLOOKUP(Table1[[#This Row],[INSTANT]],[1]dataset_2!$A:$D,4,FALSE)</f>
        <v>0.1343</v>
      </c>
      <c r="R520" s="37">
        <f>VLOOKUP(Table1[[#This Row],[INSTANT]],[1]dataset_2!$A:$G,5,0)</f>
        <v>0</v>
      </c>
      <c r="S520" s="38">
        <f>VLOOKUP(Table1[[#This Row],[INSTANT]],[1]dataset_2!$A:$G,6,0)</f>
        <v>5</v>
      </c>
      <c r="T520" s="38">
        <f>VLOOKUP(Table1[[#This Row],[INSTANT]],[1]dataset_2!$A:$G,7,0)</f>
        <v>5</v>
      </c>
    </row>
    <row r="521" spans="1:20" ht="13" x14ac:dyDescent="0.15">
      <c r="A521" s="35">
        <v>520</v>
      </c>
      <c r="B521" s="27">
        <v>40566</v>
      </c>
      <c r="C521" s="8" t="str">
        <f t="shared" si="16"/>
        <v>2011</v>
      </c>
      <c r="D521" s="8" t="str">
        <f t="shared" si="17"/>
        <v>23</v>
      </c>
      <c r="E521" s="7">
        <v>1</v>
      </c>
      <c r="F521" s="7">
        <v>0</v>
      </c>
      <c r="G521" s="7">
        <v>1</v>
      </c>
      <c r="H521" s="7">
        <v>18</v>
      </c>
      <c r="I521" s="7" t="b">
        <v>0</v>
      </c>
      <c r="J521" s="22">
        <f>--Table1[[#This Row],[HOLIDAY]]</f>
        <v>0</v>
      </c>
      <c r="K521" s="9">
        <v>0</v>
      </c>
      <c r="L521" s="7">
        <v>1</v>
      </c>
      <c r="M521" s="7">
        <f>LEN(TEXT(Table1[[#This Row],[WEATHER]],"0"))</f>
        <v>1</v>
      </c>
      <c r="N521" s="36">
        <v>0.12</v>
      </c>
      <c r="O521" s="37">
        <f>VLOOKUP(Table1[[#This Row],[INSTANT]],[1]dataset_2!$A:$G,2,FALSE)</f>
        <v>7.5800000000000006E-2</v>
      </c>
      <c r="P521" s="37">
        <f>VLOOKUP(Table1[[#This Row],[INSTANT]],[1]dataset_2!$A:$G,3,0)</f>
        <v>0.48</v>
      </c>
      <c r="Q521" s="37">
        <f>VLOOKUP(Table1[[#This Row],[INSTANT]],[1]dataset_2!$A:$D,4,FALSE)</f>
        <v>8.9599999999999999E-2</v>
      </c>
      <c r="R521" s="37">
        <f>VLOOKUP(Table1[[#This Row],[INSTANT]],[1]dataset_2!$A:$G,5,0)</f>
        <v>0</v>
      </c>
      <c r="S521" s="38">
        <f>VLOOKUP(Table1[[#This Row],[INSTANT]],[1]dataset_2!$A:$G,6,0)</f>
        <v>15</v>
      </c>
      <c r="T521" s="38">
        <f>VLOOKUP(Table1[[#This Row],[INSTANT]],[1]dataset_2!$A:$G,7,0)</f>
        <v>15</v>
      </c>
    </row>
    <row r="522" spans="1:20" ht="13" x14ac:dyDescent="0.15">
      <c r="A522" s="35">
        <v>521</v>
      </c>
      <c r="B522" s="27">
        <v>40566</v>
      </c>
      <c r="C522" s="8" t="str">
        <f t="shared" si="16"/>
        <v>2011</v>
      </c>
      <c r="D522" s="8" t="str">
        <f t="shared" si="17"/>
        <v>23</v>
      </c>
      <c r="E522" s="7">
        <v>1</v>
      </c>
      <c r="F522" s="7">
        <v>0</v>
      </c>
      <c r="G522" s="7">
        <v>1</v>
      </c>
      <c r="H522" s="7">
        <v>19</v>
      </c>
      <c r="I522" s="7" t="b">
        <v>0</v>
      </c>
      <c r="J522" s="22">
        <f>--Table1[[#This Row],[HOLIDAY]]</f>
        <v>0</v>
      </c>
      <c r="K522" s="9">
        <v>0</v>
      </c>
      <c r="L522" s="7">
        <v>1</v>
      </c>
      <c r="M522" s="7">
        <f>LEN(TEXT(Table1[[#This Row],[WEATHER]],"0"))</f>
        <v>1</v>
      </c>
      <c r="N522" s="36">
        <v>0.12</v>
      </c>
      <c r="O522" s="37">
        <f>VLOOKUP(Table1[[#This Row],[INSTANT]],[1]dataset_2!$A:$G,2,FALSE)</f>
        <v>0.1212</v>
      </c>
      <c r="P522" s="37">
        <f>VLOOKUP(Table1[[#This Row],[INSTANT]],[1]dataset_2!$A:$G,3,0)</f>
        <v>0.48</v>
      </c>
      <c r="Q522" s="37">
        <f>VLOOKUP(Table1[[#This Row],[INSTANT]],[1]dataset_2!$A:$D,4,FALSE)</f>
        <v>0</v>
      </c>
      <c r="R522" s="37">
        <f>VLOOKUP(Table1[[#This Row],[INSTANT]],[1]dataset_2!$A:$G,5,0)</f>
        <v>5</v>
      </c>
      <c r="S522" s="38">
        <f>VLOOKUP(Table1[[#This Row],[INSTANT]],[1]dataset_2!$A:$G,6,0)</f>
        <v>79</v>
      </c>
      <c r="T522" s="38">
        <f>VLOOKUP(Table1[[#This Row],[INSTANT]],[1]dataset_2!$A:$G,7,0)</f>
        <v>84</v>
      </c>
    </row>
    <row r="523" spans="1:20" ht="13" x14ac:dyDescent="0.15">
      <c r="A523" s="35">
        <v>522</v>
      </c>
      <c r="B523" s="27">
        <v>40566</v>
      </c>
      <c r="C523" s="8" t="str">
        <f t="shared" si="16"/>
        <v>2011</v>
      </c>
      <c r="D523" s="8" t="str">
        <f t="shared" si="17"/>
        <v>23</v>
      </c>
      <c r="E523" s="7">
        <v>1</v>
      </c>
      <c r="F523" s="7">
        <v>0</v>
      </c>
      <c r="G523" s="7">
        <v>1</v>
      </c>
      <c r="H523" s="7">
        <v>20</v>
      </c>
      <c r="I523" s="7" t="b">
        <v>0</v>
      </c>
      <c r="J523" s="22">
        <f>--Table1[[#This Row],[HOLIDAY]]</f>
        <v>0</v>
      </c>
      <c r="K523" s="9">
        <v>0</v>
      </c>
      <c r="L523" s="7">
        <v>1</v>
      </c>
      <c r="M523" s="7">
        <f>LEN(TEXT(Table1[[#This Row],[WEATHER]],"0"))</f>
        <v>1</v>
      </c>
      <c r="N523" s="36">
        <v>0.1</v>
      </c>
      <c r="O523" s="37">
        <f>VLOOKUP(Table1[[#This Row],[INSTANT]],[1]dataset_2!$A:$G,2,FALSE)</f>
        <v>0.13639999999999999</v>
      </c>
      <c r="P523" s="37">
        <f>VLOOKUP(Table1[[#This Row],[INSTANT]],[1]dataset_2!$A:$G,3,0)</f>
        <v>0.49</v>
      </c>
      <c r="Q523" s="37">
        <f>VLOOKUP(Table1[[#This Row],[INSTANT]],[1]dataset_2!$A:$D,4,FALSE)</f>
        <v>0</v>
      </c>
      <c r="R523" s="37">
        <f>VLOOKUP(Table1[[#This Row],[INSTANT]],[1]dataset_2!$A:$G,5,0)</f>
        <v>6</v>
      </c>
      <c r="S523" s="38">
        <f>VLOOKUP(Table1[[#This Row],[INSTANT]],[1]dataset_2!$A:$G,6,0)</f>
        <v>171</v>
      </c>
      <c r="T523" s="38">
        <f>VLOOKUP(Table1[[#This Row],[INSTANT]],[1]dataset_2!$A:$G,7,0)</f>
        <v>177</v>
      </c>
    </row>
    <row r="524" spans="1:20" ht="13" x14ac:dyDescent="0.15">
      <c r="A524" s="35">
        <v>523</v>
      </c>
      <c r="B524" s="27">
        <v>40566</v>
      </c>
      <c r="C524" s="8" t="str">
        <f t="shared" si="16"/>
        <v>2011</v>
      </c>
      <c r="D524" s="8" t="str">
        <f t="shared" si="17"/>
        <v>23</v>
      </c>
      <c r="E524" s="7">
        <v>1</v>
      </c>
      <c r="F524" s="7">
        <v>0</v>
      </c>
      <c r="G524" s="7">
        <v>1</v>
      </c>
      <c r="H524" s="7">
        <v>21</v>
      </c>
      <c r="I524" s="7" t="b">
        <v>0</v>
      </c>
      <c r="J524" s="22">
        <f>--Table1[[#This Row],[HOLIDAY]]</f>
        <v>0</v>
      </c>
      <c r="K524" s="9">
        <v>0</v>
      </c>
      <c r="L524" s="7">
        <v>1</v>
      </c>
      <c r="M524" s="7">
        <f>LEN(TEXT(Table1[[#This Row],[WEATHER]],"0"))</f>
        <v>1</v>
      </c>
      <c r="N524" s="36">
        <v>0.1</v>
      </c>
      <c r="O524" s="37">
        <f>VLOOKUP(Table1[[#This Row],[INSTANT]],[1]dataset_2!$A:$G,2,FALSE)</f>
        <v>0.1515</v>
      </c>
      <c r="P524" s="37">
        <f>VLOOKUP(Table1[[#This Row],[INSTANT]],[1]dataset_2!$A:$G,3,0)</f>
        <v>0.41</v>
      </c>
      <c r="Q524" s="37">
        <f>VLOOKUP(Table1[[#This Row],[INSTANT]],[1]dataset_2!$A:$D,4,FALSE)</f>
        <v>0</v>
      </c>
      <c r="R524" s="37">
        <f>VLOOKUP(Table1[[#This Row],[INSTANT]],[1]dataset_2!$A:$G,5,0)</f>
        <v>4</v>
      </c>
      <c r="S524" s="38">
        <f>VLOOKUP(Table1[[#This Row],[INSTANT]],[1]dataset_2!$A:$G,6,0)</f>
        <v>98</v>
      </c>
      <c r="T524" s="38">
        <f>VLOOKUP(Table1[[#This Row],[INSTANT]],[1]dataset_2!$A:$G,7,0)</f>
        <v>102</v>
      </c>
    </row>
    <row r="525" spans="1:20" ht="13" x14ac:dyDescent="0.15">
      <c r="A525" s="35">
        <v>524</v>
      </c>
      <c r="B525" s="27">
        <v>40566</v>
      </c>
      <c r="C525" s="8" t="str">
        <f t="shared" si="16"/>
        <v>2011</v>
      </c>
      <c r="D525" s="8" t="str">
        <f t="shared" si="17"/>
        <v>23</v>
      </c>
      <c r="E525" s="7">
        <v>1</v>
      </c>
      <c r="F525" s="7">
        <v>0</v>
      </c>
      <c r="G525" s="7">
        <v>1</v>
      </c>
      <c r="H525" s="7">
        <v>22</v>
      </c>
      <c r="I525" s="7" t="b">
        <v>0</v>
      </c>
      <c r="J525" s="22">
        <f>--Table1[[#This Row],[HOLIDAY]]</f>
        <v>0</v>
      </c>
      <c r="K525" s="9">
        <v>0</v>
      </c>
      <c r="L525" s="7">
        <v>1</v>
      </c>
      <c r="M525" s="7">
        <f>LEN(TEXT(Table1[[#This Row],[WEATHER]],"0"))</f>
        <v>1</v>
      </c>
      <c r="N525" s="36">
        <v>0.08</v>
      </c>
      <c r="O525" s="37">
        <f>VLOOKUP(Table1[[#This Row],[INSTANT]],[1]dataset_2!$A:$G,2,FALSE)</f>
        <v>0.13639999999999999</v>
      </c>
      <c r="P525" s="37">
        <f>VLOOKUP(Table1[[#This Row],[INSTANT]],[1]dataset_2!$A:$G,3,0)</f>
        <v>0.42</v>
      </c>
      <c r="Q525" s="37">
        <f>VLOOKUP(Table1[[#This Row],[INSTANT]],[1]dataset_2!$A:$D,4,FALSE)</f>
        <v>0</v>
      </c>
      <c r="R525" s="37">
        <f>VLOOKUP(Table1[[#This Row],[INSTANT]],[1]dataset_2!$A:$G,5,0)</f>
        <v>6</v>
      </c>
      <c r="S525" s="38">
        <f>VLOOKUP(Table1[[#This Row],[INSTANT]],[1]dataset_2!$A:$G,6,0)</f>
        <v>34</v>
      </c>
      <c r="T525" s="38">
        <f>VLOOKUP(Table1[[#This Row],[INSTANT]],[1]dataset_2!$A:$G,7,0)</f>
        <v>40</v>
      </c>
    </row>
    <row r="526" spans="1:20" ht="13" x14ac:dyDescent="0.15">
      <c r="A526" s="35">
        <v>525</v>
      </c>
      <c r="B526" s="27">
        <v>40566</v>
      </c>
      <c r="C526" s="8" t="str">
        <f t="shared" si="16"/>
        <v>2011</v>
      </c>
      <c r="D526" s="8" t="str">
        <f t="shared" si="17"/>
        <v>23</v>
      </c>
      <c r="E526" s="7">
        <v>1</v>
      </c>
      <c r="F526" s="7">
        <v>0</v>
      </c>
      <c r="G526" s="7">
        <v>1</v>
      </c>
      <c r="H526" s="7">
        <v>23</v>
      </c>
      <c r="I526" s="7" t="b">
        <v>0</v>
      </c>
      <c r="J526" s="22">
        <f>--Table1[[#This Row],[HOLIDAY]]</f>
        <v>0</v>
      </c>
      <c r="K526" s="9">
        <v>0</v>
      </c>
      <c r="L526" s="7">
        <v>1</v>
      </c>
      <c r="M526" s="7">
        <f>LEN(TEXT(Table1[[#This Row],[WEATHER]],"0"))</f>
        <v>1</v>
      </c>
      <c r="N526" s="36">
        <v>0.06</v>
      </c>
      <c r="O526" s="37">
        <f>VLOOKUP(Table1[[#This Row],[INSTANT]],[1]dataset_2!$A:$G,2,FALSE)</f>
        <v>0.1212</v>
      </c>
      <c r="P526" s="37">
        <f>VLOOKUP(Table1[[#This Row],[INSTANT]],[1]dataset_2!$A:$G,3,0)</f>
        <v>0.46</v>
      </c>
      <c r="Q526" s="37">
        <f>VLOOKUP(Table1[[#This Row],[INSTANT]],[1]dataset_2!$A:$D,4,FALSE)</f>
        <v>0.1343</v>
      </c>
      <c r="R526" s="37">
        <f>VLOOKUP(Table1[[#This Row],[INSTANT]],[1]dataset_2!$A:$G,5,0)</f>
        <v>3</v>
      </c>
      <c r="S526" s="38">
        <f>VLOOKUP(Table1[[#This Row],[INSTANT]],[1]dataset_2!$A:$G,6,0)</f>
        <v>43</v>
      </c>
      <c r="T526" s="38">
        <f>VLOOKUP(Table1[[#This Row],[INSTANT]],[1]dataset_2!$A:$G,7,0)</f>
        <v>46</v>
      </c>
    </row>
    <row r="527" spans="1:20" ht="13" x14ac:dyDescent="0.15">
      <c r="A527" s="35">
        <v>526</v>
      </c>
      <c r="B527" s="27">
        <v>40567</v>
      </c>
      <c r="C527" s="8" t="str">
        <f t="shared" si="16"/>
        <v>2011</v>
      </c>
      <c r="D527" s="8" t="str">
        <f t="shared" si="17"/>
        <v>24</v>
      </c>
      <c r="E527" s="7">
        <v>1</v>
      </c>
      <c r="F527" s="7">
        <v>0</v>
      </c>
      <c r="G527" s="7">
        <v>1</v>
      </c>
      <c r="H527" s="7">
        <v>0</v>
      </c>
      <c r="I527" s="7" t="b">
        <v>0</v>
      </c>
      <c r="J527" s="22">
        <f>--Table1[[#This Row],[HOLIDAY]]</f>
        <v>0</v>
      </c>
      <c r="K527" s="9">
        <v>1</v>
      </c>
      <c r="L527" s="7">
        <v>1</v>
      </c>
      <c r="M527" s="7">
        <f>LEN(TEXT(Table1[[#This Row],[WEATHER]],"0"))</f>
        <v>1</v>
      </c>
      <c r="N527" s="36">
        <v>0.06</v>
      </c>
      <c r="O527" s="37">
        <f>VLOOKUP(Table1[[#This Row],[INSTANT]],[1]dataset_2!$A:$G,2,FALSE)</f>
        <v>0.13639999999999999</v>
      </c>
      <c r="P527" s="37">
        <f>VLOOKUP(Table1[[#This Row],[INSTANT]],[1]dataset_2!$A:$G,3,0)</f>
        <v>0.42</v>
      </c>
      <c r="Q527" s="37">
        <f>VLOOKUP(Table1[[#This Row],[INSTANT]],[1]dataset_2!$A:$D,4,FALSE)</f>
        <v>0.19400000000000001</v>
      </c>
      <c r="R527" s="37">
        <f>VLOOKUP(Table1[[#This Row],[INSTANT]],[1]dataset_2!$A:$G,5,0)</f>
        <v>11</v>
      </c>
      <c r="S527" s="38">
        <f>VLOOKUP(Table1[[#This Row],[INSTANT]],[1]dataset_2!$A:$G,6,0)</f>
        <v>52</v>
      </c>
      <c r="T527" s="38">
        <f>VLOOKUP(Table1[[#This Row],[INSTANT]],[1]dataset_2!$A:$G,7,0)</f>
        <v>63</v>
      </c>
    </row>
    <row r="528" spans="1:20" ht="13" x14ac:dyDescent="0.15">
      <c r="A528" s="35">
        <v>527</v>
      </c>
      <c r="B528" s="27">
        <v>40567</v>
      </c>
      <c r="C528" s="8" t="str">
        <f t="shared" si="16"/>
        <v>2011</v>
      </c>
      <c r="D528" s="8" t="str">
        <f t="shared" si="17"/>
        <v>24</v>
      </c>
      <c r="E528" s="7">
        <v>1</v>
      </c>
      <c r="F528" s="7">
        <v>0</v>
      </c>
      <c r="G528" s="7">
        <v>1</v>
      </c>
      <c r="H528" s="7">
        <v>1</v>
      </c>
      <c r="I528" s="7" t="b">
        <v>0</v>
      </c>
      <c r="J528" s="22">
        <f>--Table1[[#This Row],[HOLIDAY]]</f>
        <v>0</v>
      </c>
      <c r="K528" s="9">
        <v>1</v>
      </c>
      <c r="L528" s="7">
        <v>1</v>
      </c>
      <c r="M528" s="7">
        <f>LEN(TEXT(Table1[[#This Row],[WEATHER]],"0"))</f>
        <v>1</v>
      </c>
      <c r="N528" s="36">
        <v>0.04</v>
      </c>
      <c r="O528" s="37">
        <f>VLOOKUP(Table1[[#This Row],[INSTANT]],[1]dataset_2!$A:$G,2,FALSE)</f>
        <v>0.13639999999999999</v>
      </c>
      <c r="P528" s="37">
        <f>VLOOKUP(Table1[[#This Row],[INSTANT]],[1]dataset_2!$A:$G,3,0)</f>
        <v>0.43</v>
      </c>
      <c r="Q528" s="37">
        <f>VLOOKUP(Table1[[#This Row],[INSTANT]],[1]dataset_2!$A:$D,4,FALSE)</f>
        <v>0.22389999999999999</v>
      </c>
      <c r="R528" s="37">
        <f>VLOOKUP(Table1[[#This Row],[INSTANT]],[1]dataset_2!$A:$G,5,0)</f>
        <v>6</v>
      </c>
      <c r="S528" s="38">
        <f>VLOOKUP(Table1[[#This Row],[INSTANT]],[1]dataset_2!$A:$G,6,0)</f>
        <v>54</v>
      </c>
      <c r="T528" s="38">
        <f>VLOOKUP(Table1[[#This Row],[INSTANT]],[1]dataset_2!$A:$G,7,0)</f>
        <v>60</v>
      </c>
    </row>
    <row r="529" spans="1:20" ht="13" x14ac:dyDescent="0.15">
      <c r="A529" s="35">
        <v>528</v>
      </c>
      <c r="B529" s="27">
        <v>40567</v>
      </c>
      <c r="C529" s="8" t="str">
        <f t="shared" si="16"/>
        <v>2011</v>
      </c>
      <c r="D529" s="8" t="str">
        <f t="shared" si="17"/>
        <v>24</v>
      </c>
      <c r="E529" s="7">
        <v>1</v>
      </c>
      <c r="F529" s="7">
        <v>0</v>
      </c>
      <c r="G529" s="7">
        <v>1</v>
      </c>
      <c r="H529" s="7">
        <v>3</v>
      </c>
      <c r="I529" s="7" t="b">
        <v>0</v>
      </c>
      <c r="J529" s="22">
        <f>--Table1[[#This Row],[HOLIDAY]]</f>
        <v>0</v>
      </c>
      <c r="K529" s="9">
        <v>1</v>
      </c>
      <c r="L529" s="7">
        <v>1</v>
      </c>
      <c r="M529" s="7">
        <f>LEN(TEXT(Table1[[#This Row],[WEATHER]],"0"))</f>
        <v>1</v>
      </c>
      <c r="N529" s="36">
        <v>0.04</v>
      </c>
      <c r="O529" s="37">
        <f>VLOOKUP(Table1[[#This Row],[INSTANT]],[1]dataset_2!$A:$G,2,FALSE)</f>
        <v>0.13639999999999999</v>
      </c>
      <c r="P529" s="37">
        <f>VLOOKUP(Table1[[#This Row],[INSTANT]],[1]dataset_2!$A:$G,3,0)</f>
        <v>0.46</v>
      </c>
      <c r="Q529" s="37">
        <f>VLOOKUP(Table1[[#This Row],[INSTANT]],[1]dataset_2!$A:$D,4,FALSE)</f>
        <v>0.22389999999999999</v>
      </c>
      <c r="R529" s="37">
        <f>VLOOKUP(Table1[[#This Row],[INSTANT]],[1]dataset_2!$A:$G,5,0)</f>
        <v>2</v>
      </c>
      <c r="S529" s="38">
        <f>VLOOKUP(Table1[[#This Row],[INSTANT]],[1]dataset_2!$A:$G,6,0)</f>
        <v>43</v>
      </c>
      <c r="T529" s="38">
        <f>VLOOKUP(Table1[[#This Row],[INSTANT]],[1]dataset_2!$A:$G,7,0)</f>
        <v>45</v>
      </c>
    </row>
    <row r="530" spans="1:20" ht="13" x14ac:dyDescent="0.15">
      <c r="A530" s="35">
        <v>529</v>
      </c>
      <c r="B530" s="27">
        <v>40567</v>
      </c>
      <c r="C530" s="8" t="str">
        <f t="shared" si="16"/>
        <v>2011</v>
      </c>
      <c r="D530" s="8" t="str">
        <f t="shared" si="17"/>
        <v>24</v>
      </c>
      <c r="E530" s="7">
        <v>1</v>
      </c>
      <c r="F530" s="7">
        <v>0</v>
      </c>
      <c r="G530" s="7">
        <v>1</v>
      </c>
      <c r="H530" s="7">
        <v>4</v>
      </c>
      <c r="I530" s="7" t="b">
        <v>0</v>
      </c>
      <c r="J530" s="22">
        <f>--Table1[[#This Row],[HOLIDAY]]</f>
        <v>0</v>
      </c>
      <c r="K530" s="9">
        <v>1</v>
      </c>
      <c r="L530" s="7">
        <v>1</v>
      </c>
      <c r="M530" s="7">
        <f>LEN(TEXT(Table1[[#This Row],[WEATHER]],"0"))</f>
        <v>1</v>
      </c>
      <c r="N530" s="36">
        <v>0.02</v>
      </c>
      <c r="O530" s="37">
        <f>VLOOKUP(Table1[[#This Row],[INSTANT]],[1]dataset_2!$A:$G,2,FALSE)</f>
        <v>0.16669999999999999</v>
      </c>
      <c r="P530" s="37">
        <f>VLOOKUP(Table1[[#This Row],[INSTANT]],[1]dataset_2!$A:$G,3,0)</f>
        <v>0.4</v>
      </c>
      <c r="Q530" s="37">
        <f>VLOOKUP(Table1[[#This Row],[INSTANT]],[1]dataset_2!$A:$D,4,FALSE)</f>
        <v>0.16420000000000001</v>
      </c>
      <c r="R530" s="37">
        <f>VLOOKUP(Table1[[#This Row],[INSTANT]],[1]dataset_2!$A:$G,5,0)</f>
        <v>7</v>
      </c>
      <c r="S530" s="38">
        <f>VLOOKUP(Table1[[#This Row],[INSTANT]],[1]dataset_2!$A:$G,6,0)</f>
        <v>50</v>
      </c>
      <c r="T530" s="38">
        <f>VLOOKUP(Table1[[#This Row],[INSTANT]],[1]dataset_2!$A:$G,7,0)</f>
        <v>57</v>
      </c>
    </row>
    <row r="531" spans="1:20" ht="13" x14ac:dyDescent="0.15">
      <c r="A531" s="35">
        <v>530</v>
      </c>
      <c r="B531" s="27">
        <v>40567</v>
      </c>
      <c r="C531" s="8" t="str">
        <f t="shared" si="16"/>
        <v>2011</v>
      </c>
      <c r="D531" s="8" t="str">
        <f t="shared" si="17"/>
        <v>24</v>
      </c>
      <c r="E531" s="7">
        <v>1</v>
      </c>
      <c r="F531" s="7">
        <v>0</v>
      </c>
      <c r="G531" s="7">
        <v>1</v>
      </c>
      <c r="H531" s="7">
        <v>5</v>
      </c>
      <c r="I531" s="7" t="b">
        <v>0</v>
      </c>
      <c r="J531" s="22">
        <f>--Table1[[#This Row],[HOLIDAY]]</f>
        <v>0</v>
      </c>
      <c r="K531" s="9">
        <v>1</v>
      </c>
      <c r="L531" s="7">
        <v>1</v>
      </c>
      <c r="M531" s="7">
        <f>LEN(TEXT(Table1[[#This Row],[WEATHER]],"0"))</f>
        <v>1</v>
      </c>
      <c r="N531" s="36">
        <v>0.02</v>
      </c>
      <c r="O531" s="37">
        <f>VLOOKUP(Table1[[#This Row],[INSTANT]],[1]dataset_2!$A:$G,2,FALSE)</f>
        <v>0.1515</v>
      </c>
      <c r="P531" s="37">
        <f>VLOOKUP(Table1[[#This Row],[INSTANT]],[1]dataset_2!$A:$G,3,0)</f>
        <v>0.47</v>
      </c>
      <c r="Q531" s="37">
        <f>VLOOKUP(Table1[[#This Row],[INSTANT]],[1]dataset_2!$A:$D,4,FALSE)</f>
        <v>0.25369999999999998</v>
      </c>
      <c r="R531" s="37">
        <f>VLOOKUP(Table1[[#This Row],[INSTANT]],[1]dataset_2!$A:$G,5,0)</f>
        <v>4</v>
      </c>
      <c r="S531" s="38">
        <f>VLOOKUP(Table1[[#This Row],[INSTANT]],[1]dataset_2!$A:$G,6,0)</f>
        <v>66</v>
      </c>
      <c r="T531" s="38">
        <f>VLOOKUP(Table1[[#This Row],[INSTANT]],[1]dataset_2!$A:$G,7,0)</f>
        <v>70</v>
      </c>
    </row>
    <row r="532" spans="1:20" ht="13" x14ac:dyDescent="0.15">
      <c r="A532" s="35">
        <v>531</v>
      </c>
      <c r="B532" s="27">
        <v>40567</v>
      </c>
      <c r="C532" s="8" t="str">
        <f t="shared" si="16"/>
        <v>2011</v>
      </c>
      <c r="D532" s="8" t="str">
        <f t="shared" si="17"/>
        <v>24</v>
      </c>
      <c r="E532" s="7">
        <v>1</v>
      </c>
      <c r="F532" s="7">
        <v>0</v>
      </c>
      <c r="G532" s="7">
        <v>1</v>
      </c>
      <c r="H532" s="7">
        <v>6</v>
      </c>
      <c r="I532" s="7" t="b">
        <v>0</v>
      </c>
      <c r="J532" s="22">
        <f>--Table1[[#This Row],[HOLIDAY]]</f>
        <v>0</v>
      </c>
      <c r="K532" s="9">
        <v>1</v>
      </c>
      <c r="L532" s="7">
        <v>1</v>
      </c>
      <c r="M532" s="7">
        <f>LEN(TEXT(Table1[[#This Row],[WEATHER]],"0"))</f>
        <v>1</v>
      </c>
      <c r="N532" s="36">
        <v>0.02</v>
      </c>
      <c r="O532" s="37">
        <f>VLOOKUP(Table1[[#This Row],[INSTANT]],[1]dataset_2!$A:$G,2,FALSE)</f>
        <v>0.1212</v>
      </c>
      <c r="P532" s="37">
        <f>VLOOKUP(Table1[[#This Row],[INSTANT]],[1]dataset_2!$A:$G,3,0)</f>
        <v>0.5</v>
      </c>
      <c r="Q532" s="37">
        <f>VLOOKUP(Table1[[#This Row],[INSTANT]],[1]dataset_2!$A:$D,4,FALSE)</f>
        <v>0.25369999999999998</v>
      </c>
      <c r="R532" s="37">
        <f>VLOOKUP(Table1[[#This Row],[INSTANT]],[1]dataset_2!$A:$G,5,0)</f>
        <v>6</v>
      </c>
      <c r="S532" s="38">
        <f>VLOOKUP(Table1[[#This Row],[INSTANT]],[1]dataset_2!$A:$G,6,0)</f>
        <v>178</v>
      </c>
      <c r="T532" s="38">
        <f>VLOOKUP(Table1[[#This Row],[INSTANT]],[1]dataset_2!$A:$G,7,0)</f>
        <v>184</v>
      </c>
    </row>
    <row r="533" spans="1:20" ht="13" x14ac:dyDescent="0.15">
      <c r="A533" s="35">
        <v>532</v>
      </c>
      <c r="B533" s="27">
        <v>40567</v>
      </c>
      <c r="C533" s="8" t="str">
        <f t="shared" si="16"/>
        <v>2011</v>
      </c>
      <c r="D533" s="8" t="str">
        <f t="shared" si="17"/>
        <v>24</v>
      </c>
      <c r="E533" s="7">
        <v>1</v>
      </c>
      <c r="F533" s="7">
        <v>0</v>
      </c>
      <c r="G533" s="7">
        <v>1</v>
      </c>
      <c r="H533" s="7">
        <v>7</v>
      </c>
      <c r="I533" s="7" t="b">
        <v>0</v>
      </c>
      <c r="J533" s="22">
        <f>--Table1[[#This Row],[HOLIDAY]]</f>
        <v>0</v>
      </c>
      <c r="K533" s="9">
        <v>1</v>
      </c>
      <c r="L533" s="7">
        <v>1</v>
      </c>
      <c r="M533" s="7">
        <f>LEN(TEXT(Table1[[#This Row],[WEATHER]],"0"))</f>
        <v>1</v>
      </c>
      <c r="N533" s="36">
        <v>0.02</v>
      </c>
      <c r="O533" s="37">
        <f>VLOOKUP(Table1[[#This Row],[INSTANT]],[1]dataset_2!$A:$G,2,FALSE)</f>
        <v>0.13639999999999999</v>
      </c>
      <c r="P533" s="37">
        <f>VLOOKUP(Table1[[#This Row],[INSTANT]],[1]dataset_2!$A:$G,3,0)</f>
        <v>0.59</v>
      </c>
      <c r="Q533" s="37">
        <f>VLOOKUP(Table1[[#This Row],[INSTANT]],[1]dataset_2!$A:$D,4,FALSE)</f>
        <v>0.19400000000000001</v>
      </c>
      <c r="R533" s="37">
        <f>VLOOKUP(Table1[[#This Row],[INSTANT]],[1]dataset_2!$A:$G,5,0)</f>
        <v>8</v>
      </c>
      <c r="S533" s="38">
        <f>VLOOKUP(Table1[[#This Row],[INSTANT]],[1]dataset_2!$A:$G,6,0)</f>
        <v>145</v>
      </c>
      <c r="T533" s="38">
        <f>VLOOKUP(Table1[[#This Row],[INSTANT]],[1]dataset_2!$A:$G,7,0)</f>
        <v>153</v>
      </c>
    </row>
    <row r="534" spans="1:20" ht="13" x14ac:dyDescent="0.15">
      <c r="A534" s="35">
        <v>533</v>
      </c>
      <c r="B534" s="27">
        <v>40567</v>
      </c>
      <c r="C534" s="8" t="str">
        <f t="shared" si="16"/>
        <v>2011</v>
      </c>
      <c r="D534" s="8" t="str">
        <f t="shared" si="17"/>
        <v>24</v>
      </c>
      <c r="E534" s="7">
        <v>1</v>
      </c>
      <c r="F534" s="7">
        <v>0</v>
      </c>
      <c r="G534" s="7">
        <v>1</v>
      </c>
      <c r="H534" s="7">
        <v>8</v>
      </c>
      <c r="I534" s="7" t="b">
        <v>0</v>
      </c>
      <c r="J534" s="22">
        <f>--Table1[[#This Row],[HOLIDAY]]</f>
        <v>0</v>
      </c>
      <c r="K534" s="9">
        <v>1</v>
      </c>
      <c r="L534" s="7">
        <v>1</v>
      </c>
      <c r="M534" s="7">
        <f>LEN(TEXT(Table1[[#This Row],[WEATHER]],"0"))</f>
        <v>1</v>
      </c>
      <c r="N534" s="36">
        <v>0.04</v>
      </c>
      <c r="O534" s="37">
        <f>VLOOKUP(Table1[[#This Row],[INSTANT]],[1]dataset_2!$A:$G,2,FALSE)</f>
        <v>0.1515</v>
      </c>
      <c r="P534" s="37">
        <f>VLOOKUP(Table1[[#This Row],[INSTANT]],[1]dataset_2!$A:$G,3,0)</f>
        <v>0.54</v>
      </c>
      <c r="Q534" s="37">
        <f>VLOOKUP(Table1[[#This Row],[INSTANT]],[1]dataset_2!$A:$D,4,FALSE)</f>
        <v>0.16420000000000001</v>
      </c>
      <c r="R534" s="37">
        <f>VLOOKUP(Table1[[#This Row],[INSTANT]],[1]dataset_2!$A:$G,5,0)</f>
        <v>5</v>
      </c>
      <c r="S534" s="38">
        <f>VLOOKUP(Table1[[#This Row],[INSTANT]],[1]dataset_2!$A:$G,6,0)</f>
        <v>101</v>
      </c>
      <c r="T534" s="38">
        <f>VLOOKUP(Table1[[#This Row],[INSTANT]],[1]dataset_2!$A:$G,7,0)</f>
        <v>106</v>
      </c>
    </row>
    <row r="535" spans="1:20" ht="13" x14ac:dyDescent="0.15">
      <c r="A535" s="35">
        <v>534</v>
      </c>
      <c r="B535" s="27">
        <v>40567</v>
      </c>
      <c r="C535" s="8" t="str">
        <f t="shared" si="16"/>
        <v>2011</v>
      </c>
      <c r="D535" s="8" t="str">
        <f t="shared" si="17"/>
        <v>24</v>
      </c>
      <c r="E535" s="7">
        <v>1</v>
      </c>
      <c r="F535" s="7">
        <v>0</v>
      </c>
      <c r="G535" s="7">
        <v>1</v>
      </c>
      <c r="H535" s="7">
        <v>9</v>
      </c>
      <c r="I535" s="7" t="b">
        <v>0</v>
      </c>
      <c r="J535" s="22">
        <f>--Table1[[#This Row],[HOLIDAY]]</f>
        <v>0</v>
      </c>
      <c r="K535" s="9">
        <v>1</v>
      </c>
      <c r="L535" s="7">
        <v>1</v>
      </c>
      <c r="M535" s="7">
        <f>LEN(TEXT(Table1[[#This Row],[WEATHER]],"0"))</f>
        <v>1</v>
      </c>
      <c r="N535" s="36">
        <v>0.06</v>
      </c>
      <c r="O535" s="37">
        <f>VLOOKUP(Table1[[#This Row],[INSTANT]],[1]dataset_2!$A:$G,2,FALSE)</f>
        <v>0.13639999999999999</v>
      </c>
      <c r="P535" s="37">
        <f>VLOOKUP(Table1[[#This Row],[INSTANT]],[1]dataset_2!$A:$G,3,0)</f>
        <v>0.59</v>
      </c>
      <c r="Q535" s="37">
        <f>VLOOKUP(Table1[[#This Row],[INSTANT]],[1]dataset_2!$A:$D,4,FALSE)</f>
        <v>0.19400000000000001</v>
      </c>
      <c r="R535" s="37">
        <f>VLOOKUP(Table1[[#This Row],[INSTANT]],[1]dataset_2!$A:$G,5,0)</f>
        <v>1</v>
      </c>
      <c r="S535" s="38">
        <f>VLOOKUP(Table1[[#This Row],[INSTANT]],[1]dataset_2!$A:$G,6,0)</f>
        <v>80</v>
      </c>
      <c r="T535" s="38">
        <f>VLOOKUP(Table1[[#This Row],[INSTANT]],[1]dataset_2!$A:$G,7,0)</f>
        <v>81</v>
      </c>
    </row>
    <row r="536" spans="1:20" ht="13" x14ac:dyDescent="0.15">
      <c r="A536" s="35">
        <v>535</v>
      </c>
      <c r="B536" s="27">
        <v>40567</v>
      </c>
      <c r="C536" s="8" t="str">
        <f t="shared" si="16"/>
        <v>2011</v>
      </c>
      <c r="D536" s="8" t="str">
        <f t="shared" si="17"/>
        <v>24</v>
      </c>
      <c r="E536" s="7">
        <v>1</v>
      </c>
      <c r="F536" s="7">
        <v>0</v>
      </c>
      <c r="G536" s="7">
        <v>1</v>
      </c>
      <c r="H536" s="7">
        <v>10</v>
      </c>
      <c r="I536" s="7" t="b">
        <v>0</v>
      </c>
      <c r="J536" s="22">
        <f>--Table1[[#This Row],[HOLIDAY]]</f>
        <v>0</v>
      </c>
      <c r="K536" s="9">
        <v>1</v>
      </c>
      <c r="L536" s="7">
        <v>1</v>
      </c>
      <c r="M536" s="7">
        <f>LEN(TEXT(Table1[[#This Row],[WEATHER]],"0"))</f>
        <v>1</v>
      </c>
      <c r="N536" s="36">
        <v>0.1</v>
      </c>
      <c r="O536" s="37">
        <f>VLOOKUP(Table1[[#This Row],[INSTANT]],[1]dataset_2!$A:$G,2,FALSE)</f>
        <v>0.1515</v>
      </c>
      <c r="P536" s="37">
        <f>VLOOKUP(Table1[[#This Row],[INSTANT]],[1]dataset_2!$A:$G,3,0)</f>
        <v>0.63</v>
      </c>
      <c r="Q536" s="37">
        <f>VLOOKUP(Table1[[#This Row],[INSTANT]],[1]dataset_2!$A:$D,4,FALSE)</f>
        <v>0.16420000000000001</v>
      </c>
      <c r="R536" s="37">
        <f>VLOOKUP(Table1[[#This Row],[INSTANT]],[1]dataset_2!$A:$G,5,0)</f>
        <v>6</v>
      </c>
      <c r="S536" s="38">
        <f>VLOOKUP(Table1[[#This Row],[INSTANT]],[1]dataset_2!$A:$G,6,0)</f>
        <v>53</v>
      </c>
      <c r="T536" s="38">
        <f>VLOOKUP(Table1[[#This Row],[INSTANT]],[1]dataset_2!$A:$G,7,0)</f>
        <v>59</v>
      </c>
    </row>
    <row r="537" spans="1:20" ht="13" x14ac:dyDescent="0.15">
      <c r="A537" s="35">
        <v>536</v>
      </c>
      <c r="B537" s="27">
        <v>40567</v>
      </c>
      <c r="C537" s="8" t="str">
        <f t="shared" si="16"/>
        <v>2011</v>
      </c>
      <c r="D537" s="8" t="str">
        <f t="shared" si="17"/>
        <v>24</v>
      </c>
      <c r="E537" s="7">
        <v>1</v>
      </c>
      <c r="F537" s="7">
        <v>0</v>
      </c>
      <c r="G537" s="7">
        <v>1</v>
      </c>
      <c r="H537" s="7">
        <v>11</v>
      </c>
      <c r="I537" s="7" t="b">
        <v>0</v>
      </c>
      <c r="J537" s="22">
        <f>--Table1[[#This Row],[HOLIDAY]]</f>
        <v>0</v>
      </c>
      <c r="K537" s="9">
        <v>1</v>
      </c>
      <c r="L537" s="7">
        <v>1</v>
      </c>
      <c r="M537" s="7">
        <f>LEN(TEXT(Table1[[#This Row],[WEATHER]],"0"))</f>
        <v>1</v>
      </c>
      <c r="N537" s="36">
        <v>0.1</v>
      </c>
      <c r="O537" s="37">
        <f>VLOOKUP(Table1[[#This Row],[INSTANT]],[1]dataset_2!$A:$G,2,FALSE)</f>
        <v>0.13639999999999999</v>
      </c>
      <c r="P537" s="37">
        <f>VLOOKUP(Table1[[#This Row],[INSTANT]],[1]dataset_2!$A:$G,3,0)</f>
        <v>0.63</v>
      </c>
      <c r="Q537" s="37">
        <f>VLOOKUP(Table1[[#This Row],[INSTANT]],[1]dataset_2!$A:$D,4,FALSE)</f>
        <v>0.22389999999999999</v>
      </c>
      <c r="R537" s="37">
        <f>VLOOKUP(Table1[[#This Row],[INSTANT]],[1]dataset_2!$A:$G,5,0)</f>
        <v>3</v>
      </c>
      <c r="S537" s="38">
        <f>VLOOKUP(Table1[[#This Row],[INSTANT]],[1]dataset_2!$A:$G,6,0)</f>
        <v>32</v>
      </c>
      <c r="T537" s="38">
        <f>VLOOKUP(Table1[[#This Row],[INSTANT]],[1]dataset_2!$A:$G,7,0)</f>
        <v>35</v>
      </c>
    </row>
    <row r="538" spans="1:20" ht="13" x14ac:dyDescent="0.15">
      <c r="A538" s="35">
        <v>537</v>
      </c>
      <c r="B538" s="27">
        <v>40567</v>
      </c>
      <c r="C538" s="8" t="str">
        <f t="shared" si="16"/>
        <v>2011</v>
      </c>
      <c r="D538" s="8" t="str">
        <f t="shared" si="17"/>
        <v>24</v>
      </c>
      <c r="E538" s="7">
        <v>1</v>
      </c>
      <c r="F538" s="7">
        <v>0</v>
      </c>
      <c r="G538" s="7">
        <v>1</v>
      </c>
      <c r="H538" s="7">
        <v>12</v>
      </c>
      <c r="I538" s="7" t="b">
        <v>0</v>
      </c>
      <c r="J538" s="22">
        <f>--Table1[[#This Row],[HOLIDAY]]</f>
        <v>0</v>
      </c>
      <c r="K538" s="9">
        <v>1</v>
      </c>
      <c r="L538" s="7">
        <v>2</v>
      </c>
      <c r="M538" s="7">
        <f>LEN(TEXT(Table1[[#This Row],[WEATHER]],"0"))</f>
        <v>1</v>
      </c>
      <c r="N538" s="36">
        <v>0.12</v>
      </c>
      <c r="O538" s="37">
        <f>VLOOKUP(Table1[[#This Row],[INSTANT]],[1]dataset_2!$A:$G,2,FALSE)</f>
        <v>0.1515</v>
      </c>
      <c r="P538" s="37">
        <f>VLOOKUP(Table1[[#This Row],[INSTANT]],[1]dataset_2!$A:$G,3,0)</f>
        <v>0.64</v>
      </c>
      <c r="Q538" s="37">
        <f>VLOOKUP(Table1[[#This Row],[INSTANT]],[1]dataset_2!$A:$D,4,FALSE)</f>
        <v>0.25369999999999998</v>
      </c>
      <c r="R538" s="37">
        <f>VLOOKUP(Table1[[#This Row],[INSTANT]],[1]dataset_2!$A:$G,5,0)</f>
        <v>3</v>
      </c>
      <c r="S538" s="38">
        <f>VLOOKUP(Table1[[#This Row],[INSTANT]],[1]dataset_2!$A:$G,6,0)</f>
        <v>21</v>
      </c>
      <c r="T538" s="38">
        <f>VLOOKUP(Table1[[#This Row],[INSTANT]],[1]dataset_2!$A:$G,7,0)</f>
        <v>24</v>
      </c>
    </row>
    <row r="539" spans="1:20" ht="13" x14ac:dyDescent="0.15">
      <c r="A539" s="35">
        <v>538</v>
      </c>
      <c r="B539" s="27">
        <v>40567</v>
      </c>
      <c r="C539" s="8" t="str">
        <f t="shared" si="16"/>
        <v>2011</v>
      </c>
      <c r="D539" s="8" t="str">
        <f t="shared" si="17"/>
        <v>24</v>
      </c>
      <c r="E539" s="7">
        <v>1</v>
      </c>
      <c r="F539" s="7">
        <v>0</v>
      </c>
      <c r="G539" s="7">
        <v>1</v>
      </c>
      <c r="H539" s="7">
        <v>13</v>
      </c>
      <c r="I539" s="7" t="b">
        <v>0</v>
      </c>
      <c r="J539" s="22">
        <f>--Table1[[#This Row],[HOLIDAY]]</f>
        <v>0</v>
      </c>
      <c r="K539" s="9">
        <v>1</v>
      </c>
      <c r="L539" s="7">
        <v>2</v>
      </c>
      <c r="M539" s="7">
        <f>LEN(TEXT(Table1[[#This Row],[WEATHER]],"0"))</f>
        <v>1</v>
      </c>
      <c r="N539" s="36">
        <v>0.14000000000000001</v>
      </c>
      <c r="O539" s="37">
        <f>VLOOKUP(Table1[[#This Row],[INSTANT]],[1]dataset_2!$A:$G,2,FALSE)</f>
        <v>0.13639999999999999</v>
      </c>
      <c r="P539" s="37">
        <f>VLOOKUP(Table1[[#This Row],[INSTANT]],[1]dataset_2!$A:$G,3,0)</f>
        <v>0.69</v>
      </c>
      <c r="Q539" s="37">
        <f>VLOOKUP(Table1[[#This Row],[INSTANT]],[1]dataset_2!$A:$D,4,FALSE)</f>
        <v>0.28360000000000002</v>
      </c>
      <c r="R539" s="37">
        <f>VLOOKUP(Table1[[#This Row],[INSTANT]],[1]dataset_2!$A:$G,5,0)</f>
        <v>3</v>
      </c>
      <c r="S539" s="38">
        <f>VLOOKUP(Table1[[#This Row],[INSTANT]],[1]dataset_2!$A:$G,6,0)</f>
        <v>6</v>
      </c>
      <c r="T539" s="38">
        <f>VLOOKUP(Table1[[#This Row],[INSTANT]],[1]dataset_2!$A:$G,7,0)</f>
        <v>9</v>
      </c>
    </row>
    <row r="540" spans="1:20" ht="13" x14ac:dyDescent="0.15">
      <c r="A540" s="35">
        <v>539</v>
      </c>
      <c r="B540" s="27">
        <v>40567</v>
      </c>
      <c r="C540" s="8" t="str">
        <f t="shared" si="16"/>
        <v>2011</v>
      </c>
      <c r="D540" s="8" t="str">
        <f t="shared" si="17"/>
        <v>24</v>
      </c>
      <c r="E540" s="7">
        <v>1</v>
      </c>
      <c r="F540" s="7">
        <v>0</v>
      </c>
      <c r="G540" s="7">
        <v>1</v>
      </c>
      <c r="H540" s="7">
        <v>14</v>
      </c>
      <c r="I540" s="7" t="b">
        <v>0</v>
      </c>
      <c r="J540" s="22">
        <f>--Table1[[#This Row],[HOLIDAY]]</f>
        <v>0</v>
      </c>
      <c r="K540" s="9">
        <v>1</v>
      </c>
      <c r="L540" s="7">
        <v>2</v>
      </c>
      <c r="M540" s="7">
        <f>LEN(TEXT(Table1[[#This Row],[WEATHER]],"0"))</f>
        <v>1</v>
      </c>
      <c r="N540" s="36">
        <v>0.14000000000000001</v>
      </c>
      <c r="O540" s="37">
        <f>VLOOKUP(Table1[[#This Row],[INSTANT]],[1]dataset_2!$A:$G,2,FALSE)</f>
        <v>0.16669999999999999</v>
      </c>
      <c r="P540" s="37">
        <f>VLOOKUP(Table1[[#This Row],[INSTANT]],[1]dataset_2!$A:$G,3,0)</f>
        <v>0.69</v>
      </c>
      <c r="Q540" s="37">
        <f>VLOOKUP(Table1[[#This Row],[INSTANT]],[1]dataset_2!$A:$D,4,FALSE)</f>
        <v>0.16420000000000001</v>
      </c>
      <c r="R540" s="37">
        <f>VLOOKUP(Table1[[#This Row],[INSTANT]],[1]dataset_2!$A:$G,5,0)</f>
        <v>0</v>
      </c>
      <c r="S540" s="38">
        <f>VLOOKUP(Table1[[#This Row],[INSTANT]],[1]dataset_2!$A:$G,6,0)</f>
        <v>5</v>
      </c>
      <c r="T540" s="38">
        <f>VLOOKUP(Table1[[#This Row],[INSTANT]],[1]dataset_2!$A:$G,7,0)</f>
        <v>5</v>
      </c>
    </row>
    <row r="541" spans="1:20" ht="13" x14ac:dyDescent="0.15">
      <c r="A541" s="35">
        <v>540</v>
      </c>
      <c r="B541" s="27">
        <v>40567</v>
      </c>
      <c r="C541" s="8" t="str">
        <f t="shared" si="16"/>
        <v>2011</v>
      </c>
      <c r="D541" s="8" t="str">
        <f t="shared" si="17"/>
        <v>24</v>
      </c>
      <c r="E541" s="7">
        <v>1</v>
      </c>
      <c r="F541" s="7">
        <v>0</v>
      </c>
      <c r="G541" s="7">
        <v>1</v>
      </c>
      <c r="H541" s="7">
        <v>15</v>
      </c>
      <c r="I541" s="7" t="b">
        <v>0</v>
      </c>
      <c r="J541" s="22">
        <f>--Table1[[#This Row],[HOLIDAY]]</f>
        <v>0</v>
      </c>
      <c r="K541" s="9">
        <v>1</v>
      </c>
      <c r="L541" s="7">
        <v>1</v>
      </c>
      <c r="M541" s="7">
        <f>LEN(TEXT(Table1[[#This Row],[WEATHER]],"0"))</f>
        <v>1</v>
      </c>
      <c r="N541" s="36">
        <v>0.16</v>
      </c>
      <c r="O541" s="37">
        <f>VLOOKUP(Table1[[#This Row],[INSTANT]],[1]dataset_2!$A:$G,2,FALSE)</f>
        <v>0.1515</v>
      </c>
      <c r="P541" s="37">
        <f>VLOOKUP(Table1[[#This Row],[INSTANT]],[1]dataset_2!$A:$G,3,0)</f>
        <v>0.69</v>
      </c>
      <c r="Q541" s="37">
        <f>VLOOKUP(Table1[[#This Row],[INSTANT]],[1]dataset_2!$A:$D,4,FALSE)</f>
        <v>0.22389999999999999</v>
      </c>
      <c r="R541" s="37">
        <f>VLOOKUP(Table1[[#This Row],[INSTANT]],[1]dataset_2!$A:$G,5,0)</f>
        <v>0</v>
      </c>
      <c r="S541" s="38">
        <f>VLOOKUP(Table1[[#This Row],[INSTANT]],[1]dataset_2!$A:$G,6,0)</f>
        <v>2</v>
      </c>
      <c r="T541" s="38">
        <f>VLOOKUP(Table1[[#This Row],[INSTANT]],[1]dataset_2!$A:$G,7,0)</f>
        <v>2</v>
      </c>
    </row>
    <row r="542" spans="1:20" ht="13" x14ac:dyDescent="0.15">
      <c r="A542" s="35">
        <v>541</v>
      </c>
      <c r="B542" s="27">
        <v>40567</v>
      </c>
      <c r="C542" s="8" t="str">
        <f t="shared" si="16"/>
        <v>2011</v>
      </c>
      <c r="D542" s="8" t="str">
        <f t="shared" si="17"/>
        <v>24</v>
      </c>
      <c r="E542" s="7">
        <v>1</v>
      </c>
      <c r="F542" s="7">
        <v>0</v>
      </c>
      <c r="G542" s="7">
        <v>1</v>
      </c>
      <c r="H542" s="7">
        <v>16</v>
      </c>
      <c r="I542" s="7" t="b">
        <v>0</v>
      </c>
      <c r="J542" s="22">
        <f>--Table1[[#This Row],[HOLIDAY]]</f>
        <v>0</v>
      </c>
      <c r="K542" s="9">
        <v>1</v>
      </c>
      <c r="L542" s="7">
        <v>1</v>
      </c>
      <c r="M542" s="7">
        <f>LEN(TEXT(Table1[[#This Row],[WEATHER]],"0"))</f>
        <v>1</v>
      </c>
      <c r="N542" s="36">
        <v>0.16</v>
      </c>
      <c r="O542" s="37">
        <f>VLOOKUP(Table1[[#This Row],[INSTANT]],[1]dataset_2!$A:$G,2,FALSE)</f>
        <v>0.16669999999999999</v>
      </c>
      <c r="P542" s="37">
        <f>VLOOKUP(Table1[[#This Row],[INSTANT]],[1]dataset_2!$A:$G,3,0)</f>
        <v>0.74</v>
      </c>
      <c r="Q542" s="37">
        <f>VLOOKUP(Table1[[#This Row],[INSTANT]],[1]dataset_2!$A:$D,4,FALSE)</f>
        <v>0.1045</v>
      </c>
      <c r="R542" s="37">
        <f>VLOOKUP(Table1[[#This Row],[INSTANT]],[1]dataset_2!$A:$G,5,0)</f>
        <v>0</v>
      </c>
      <c r="S542" s="38">
        <f>VLOOKUP(Table1[[#This Row],[INSTANT]],[1]dataset_2!$A:$G,6,0)</f>
        <v>1</v>
      </c>
      <c r="T542" s="38">
        <f>VLOOKUP(Table1[[#This Row],[INSTANT]],[1]dataset_2!$A:$G,7,0)</f>
        <v>1</v>
      </c>
    </row>
    <row r="543" spans="1:20" ht="13" x14ac:dyDescent="0.15">
      <c r="A543" s="35">
        <v>542</v>
      </c>
      <c r="B543" s="27">
        <v>40567</v>
      </c>
      <c r="C543" s="8" t="str">
        <f t="shared" si="16"/>
        <v>2011</v>
      </c>
      <c r="D543" s="8" t="str">
        <f t="shared" si="17"/>
        <v>24</v>
      </c>
      <c r="E543" s="7">
        <v>1</v>
      </c>
      <c r="F543" s="7">
        <v>0</v>
      </c>
      <c r="G543" s="7">
        <v>1</v>
      </c>
      <c r="H543" s="7">
        <v>17</v>
      </c>
      <c r="I543" s="7" t="b">
        <v>0</v>
      </c>
      <c r="J543" s="22">
        <f>--Table1[[#This Row],[HOLIDAY]]</f>
        <v>0</v>
      </c>
      <c r="K543" s="9">
        <v>1</v>
      </c>
      <c r="L543" s="7">
        <v>1</v>
      </c>
      <c r="M543" s="7">
        <f>LEN(TEXT(Table1[[#This Row],[WEATHER]],"0"))</f>
        <v>1</v>
      </c>
      <c r="N543" s="36">
        <v>0.14000000000000001</v>
      </c>
      <c r="O543" s="37">
        <f>VLOOKUP(Table1[[#This Row],[INSTANT]],[1]dataset_2!$A:$G,2,FALSE)</f>
        <v>0.13639999999999999</v>
      </c>
      <c r="P543" s="37">
        <f>VLOOKUP(Table1[[#This Row],[INSTANT]],[1]dataset_2!$A:$G,3,0)</f>
        <v>0.74</v>
      </c>
      <c r="Q543" s="37">
        <f>VLOOKUP(Table1[[#This Row],[INSTANT]],[1]dataset_2!$A:$D,4,FALSE)</f>
        <v>0.22389999999999999</v>
      </c>
      <c r="R543" s="37">
        <f>VLOOKUP(Table1[[#This Row],[INSTANT]],[1]dataset_2!$A:$G,5,0)</f>
        <v>0</v>
      </c>
      <c r="S543" s="38">
        <f>VLOOKUP(Table1[[#This Row],[INSTANT]],[1]dataset_2!$A:$G,6,0)</f>
        <v>9</v>
      </c>
      <c r="T543" s="38">
        <f>VLOOKUP(Table1[[#This Row],[INSTANT]],[1]dataset_2!$A:$G,7,0)</f>
        <v>9</v>
      </c>
    </row>
    <row r="544" spans="1:20" ht="13" x14ac:dyDescent="0.15">
      <c r="A544" s="35">
        <v>543</v>
      </c>
      <c r="B544" s="27">
        <v>40567</v>
      </c>
      <c r="C544" s="8" t="str">
        <f t="shared" si="16"/>
        <v>2011</v>
      </c>
      <c r="D544" s="8" t="str">
        <f t="shared" si="17"/>
        <v>24</v>
      </c>
      <c r="E544" s="7">
        <v>1</v>
      </c>
      <c r="F544" s="7">
        <v>0</v>
      </c>
      <c r="G544" s="7">
        <v>1</v>
      </c>
      <c r="H544" s="7">
        <v>18</v>
      </c>
      <c r="I544" s="7" t="b">
        <v>0</v>
      </c>
      <c r="J544" s="22">
        <f>--Table1[[#This Row],[HOLIDAY]]</f>
        <v>0</v>
      </c>
      <c r="K544" s="9">
        <v>1</v>
      </c>
      <c r="L544" s="7">
        <v>1</v>
      </c>
      <c r="M544" s="7">
        <f>LEN(TEXT(Table1[[#This Row],[WEATHER]],"0"))</f>
        <v>1</v>
      </c>
      <c r="N544" s="36">
        <v>0.14000000000000001</v>
      </c>
      <c r="O544" s="37">
        <f>VLOOKUP(Table1[[#This Row],[INSTANT]],[1]dataset_2!$A:$G,2,FALSE)</f>
        <v>0.18179999999999999</v>
      </c>
      <c r="P544" s="37">
        <f>VLOOKUP(Table1[[#This Row],[INSTANT]],[1]dataset_2!$A:$G,3,0)</f>
        <v>0.74</v>
      </c>
      <c r="Q544" s="37">
        <f>VLOOKUP(Table1[[#This Row],[INSTANT]],[1]dataset_2!$A:$D,4,FALSE)</f>
        <v>0.1045</v>
      </c>
      <c r="R544" s="37">
        <f>VLOOKUP(Table1[[#This Row],[INSTANT]],[1]dataset_2!$A:$G,5,0)</f>
        <v>1</v>
      </c>
      <c r="S544" s="38">
        <f>VLOOKUP(Table1[[#This Row],[INSTANT]],[1]dataset_2!$A:$G,6,0)</f>
        <v>35</v>
      </c>
      <c r="T544" s="38">
        <f>VLOOKUP(Table1[[#This Row],[INSTANT]],[1]dataset_2!$A:$G,7,0)</f>
        <v>36</v>
      </c>
    </row>
    <row r="545" spans="1:20" ht="13" x14ac:dyDescent="0.15">
      <c r="A545" s="35">
        <v>544</v>
      </c>
      <c r="B545" s="27">
        <v>40567</v>
      </c>
      <c r="C545" s="8" t="str">
        <f t="shared" si="16"/>
        <v>2011</v>
      </c>
      <c r="D545" s="8" t="str">
        <f t="shared" si="17"/>
        <v>24</v>
      </c>
      <c r="E545" s="7">
        <v>1</v>
      </c>
      <c r="F545" s="7">
        <v>0</v>
      </c>
      <c r="G545" s="7">
        <v>1</v>
      </c>
      <c r="H545" s="7">
        <v>19</v>
      </c>
      <c r="I545" s="7" t="b">
        <v>0</v>
      </c>
      <c r="J545" s="22">
        <f>--Table1[[#This Row],[HOLIDAY]]</f>
        <v>0</v>
      </c>
      <c r="K545" s="9">
        <v>1</v>
      </c>
      <c r="L545" s="7">
        <v>1</v>
      </c>
      <c r="M545" s="7">
        <f>LEN(TEXT(Table1[[#This Row],[WEATHER]],"0"))</f>
        <v>1</v>
      </c>
      <c r="N545" s="36">
        <v>0.14000000000000001</v>
      </c>
      <c r="O545" s="37">
        <f>VLOOKUP(Table1[[#This Row],[INSTANT]],[1]dataset_2!$A:$G,2,FALSE)</f>
        <v>0.1515</v>
      </c>
      <c r="P545" s="37">
        <f>VLOOKUP(Table1[[#This Row],[INSTANT]],[1]dataset_2!$A:$G,3,0)</f>
        <v>0.74</v>
      </c>
      <c r="Q545" s="37">
        <f>VLOOKUP(Table1[[#This Row],[INSTANT]],[1]dataset_2!$A:$D,4,FALSE)</f>
        <v>0.22389999999999999</v>
      </c>
      <c r="R545" s="37">
        <f>VLOOKUP(Table1[[#This Row],[INSTANT]],[1]dataset_2!$A:$G,5,0)</f>
        <v>5</v>
      </c>
      <c r="S545" s="38">
        <f>VLOOKUP(Table1[[#This Row],[INSTANT]],[1]dataset_2!$A:$G,6,0)</f>
        <v>103</v>
      </c>
      <c r="T545" s="38">
        <f>VLOOKUP(Table1[[#This Row],[INSTANT]],[1]dataset_2!$A:$G,7,0)</f>
        <v>108</v>
      </c>
    </row>
    <row r="546" spans="1:20" ht="13" x14ac:dyDescent="0.15">
      <c r="A546" s="35">
        <v>545</v>
      </c>
      <c r="B546" s="27">
        <v>40567</v>
      </c>
      <c r="C546" s="8" t="str">
        <f t="shared" si="16"/>
        <v>2011</v>
      </c>
      <c r="D546" s="8" t="str">
        <f t="shared" si="17"/>
        <v>24</v>
      </c>
      <c r="E546" s="7">
        <v>1</v>
      </c>
      <c r="F546" s="7">
        <v>0</v>
      </c>
      <c r="G546" s="7">
        <v>1</v>
      </c>
      <c r="H546" s="7">
        <v>20</v>
      </c>
      <c r="I546" s="7" t="b">
        <v>0</v>
      </c>
      <c r="J546" s="22">
        <f>--Table1[[#This Row],[HOLIDAY]]</f>
        <v>0</v>
      </c>
      <c r="K546" s="9">
        <v>1</v>
      </c>
      <c r="L546" s="7">
        <v>1</v>
      </c>
      <c r="M546" s="7">
        <f>LEN(TEXT(Table1[[#This Row],[WEATHER]],"0"))</f>
        <v>1</v>
      </c>
      <c r="N546" s="36">
        <v>0.14000000000000001</v>
      </c>
      <c r="O546" s="37">
        <f>VLOOKUP(Table1[[#This Row],[INSTANT]],[1]dataset_2!$A:$G,2,FALSE)</f>
        <v>0.18179999999999999</v>
      </c>
      <c r="P546" s="37">
        <f>VLOOKUP(Table1[[#This Row],[INSTANT]],[1]dataset_2!$A:$G,3,0)</f>
        <v>0.74</v>
      </c>
      <c r="Q546" s="37">
        <f>VLOOKUP(Table1[[#This Row],[INSTANT]],[1]dataset_2!$A:$D,4,FALSE)</f>
        <v>0.1343</v>
      </c>
      <c r="R546" s="37">
        <f>VLOOKUP(Table1[[#This Row],[INSTANT]],[1]dataset_2!$A:$G,5,0)</f>
        <v>5</v>
      </c>
      <c r="S546" s="38">
        <f>VLOOKUP(Table1[[#This Row],[INSTANT]],[1]dataset_2!$A:$G,6,0)</f>
        <v>233</v>
      </c>
      <c r="T546" s="38">
        <f>VLOOKUP(Table1[[#This Row],[INSTANT]],[1]dataset_2!$A:$G,7,0)</f>
        <v>238</v>
      </c>
    </row>
    <row r="547" spans="1:20" ht="13" x14ac:dyDescent="0.15">
      <c r="A547" s="35">
        <v>546</v>
      </c>
      <c r="B547" s="27">
        <v>40567</v>
      </c>
      <c r="C547" s="8" t="str">
        <f t="shared" si="16"/>
        <v>2011</v>
      </c>
      <c r="D547" s="8" t="str">
        <f t="shared" si="17"/>
        <v>24</v>
      </c>
      <c r="E547" s="7">
        <v>1</v>
      </c>
      <c r="F547" s="7">
        <v>0</v>
      </c>
      <c r="G547" s="7">
        <v>1</v>
      </c>
      <c r="H547" s="7">
        <v>21</v>
      </c>
      <c r="I547" s="7" t="b">
        <v>0</v>
      </c>
      <c r="J547" s="22">
        <f>--Table1[[#This Row],[HOLIDAY]]</f>
        <v>0</v>
      </c>
      <c r="K547" s="9">
        <v>1</v>
      </c>
      <c r="L547" s="7">
        <v>1</v>
      </c>
      <c r="M547" s="7">
        <f>LEN(TEXT(Table1[[#This Row],[WEATHER]],"0"))</f>
        <v>1</v>
      </c>
      <c r="N547" s="36">
        <v>0.14000000000000001</v>
      </c>
      <c r="O547" s="37">
        <f>VLOOKUP(Table1[[#This Row],[INSTANT]],[1]dataset_2!$A:$G,2,FALSE)</f>
        <v>0.2273</v>
      </c>
      <c r="P547" s="37">
        <f>VLOOKUP(Table1[[#This Row],[INSTANT]],[1]dataset_2!$A:$G,3,0)</f>
        <v>0.64</v>
      </c>
      <c r="Q547" s="37">
        <f>VLOOKUP(Table1[[#This Row],[INSTANT]],[1]dataset_2!$A:$D,4,FALSE)</f>
        <v>8.9599999999999999E-2</v>
      </c>
      <c r="R547" s="37">
        <f>VLOOKUP(Table1[[#This Row],[INSTANT]],[1]dataset_2!$A:$G,5,0)</f>
        <v>10</v>
      </c>
      <c r="S547" s="38">
        <f>VLOOKUP(Table1[[#This Row],[INSTANT]],[1]dataset_2!$A:$G,6,0)</f>
        <v>134</v>
      </c>
      <c r="T547" s="38">
        <f>VLOOKUP(Table1[[#This Row],[INSTANT]],[1]dataset_2!$A:$G,7,0)</f>
        <v>144</v>
      </c>
    </row>
    <row r="548" spans="1:20" ht="13" x14ac:dyDescent="0.15">
      <c r="A548" s="35">
        <v>547</v>
      </c>
      <c r="B548" s="27">
        <v>40567</v>
      </c>
      <c r="C548" s="8" t="str">
        <f t="shared" si="16"/>
        <v>2011</v>
      </c>
      <c r="D548" s="8" t="str">
        <f t="shared" si="17"/>
        <v>24</v>
      </c>
      <c r="E548" s="7">
        <v>1</v>
      </c>
      <c r="F548" s="7">
        <v>0</v>
      </c>
      <c r="G548" s="7">
        <v>1</v>
      </c>
      <c r="H548" s="7">
        <v>22</v>
      </c>
      <c r="I548" s="7" t="b">
        <v>0</v>
      </c>
      <c r="J548" s="22">
        <f>--Table1[[#This Row],[HOLIDAY]]</f>
        <v>0</v>
      </c>
      <c r="K548" s="9">
        <v>1</v>
      </c>
      <c r="L548" s="7">
        <v>2</v>
      </c>
      <c r="M548" s="7">
        <f>LEN(TEXT(Table1[[#This Row],[WEATHER]],"0"))</f>
        <v>1</v>
      </c>
      <c r="N548" s="36">
        <v>0.14000000000000001</v>
      </c>
      <c r="O548" s="37">
        <f>VLOOKUP(Table1[[#This Row],[INSTANT]],[1]dataset_2!$A:$G,2,FALSE)</f>
        <v>0.2424</v>
      </c>
      <c r="P548" s="37">
        <f>VLOOKUP(Table1[[#This Row],[INSTANT]],[1]dataset_2!$A:$G,3,0)</f>
        <v>0.6</v>
      </c>
      <c r="Q548" s="37">
        <f>VLOOKUP(Table1[[#This Row],[INSTANT]],[1]dataset_2!$A:$D,4,FALSE)</f>
        <v>0.1045</v>
      </c>
      <c r="R548" s="37">
        <f>VLOOKUP(Table1[[#This Row],[INSTANT]],[1]dataset_2!$A:$G,5,0)</f>
        <v>6</v>
      </c>
      <c r="S548" s="38">
        <f>VLOOKUP(Table1[[#This Row],[INSTANT]],[1]dataset_2!$A:$G,6,0)</f>
        <v>49</v>
      </c>
      <c r="T548" s="38">
        <f>VLOOKUP(Table1[[#This Row],[INSTANT]],[1]dataset_2!$A:$G,7,0)</f>
        <v>55</v>
      </c>
    </row>
    <row r="549" spans="1:20" ht="13" x14ac:dyDescent="0.15">
      <c r="A549" s="35">
        <v>548</v>
      </c>
      <c r="B549" s="27">
        <v>40567</v>
      </c>
      <c r="C549" s="8" t="str">
        <f t="shared" si="16"/>
        <v>2011</v>
      </c>
      <c r="D549" s="8" t="str">
        <f t="shared" si="17"/>
        <v>24</v>
      </c>
      <c r="E549" s="7">
        <v>1</v>
      </c>
      <c r="F549" s="7">
        <v>0</v>
      </c>
      <c r="G549" s="7">
        <v>1</v>
      </c>
      <c r="H549" s="7">
        <v>23</v>
      </c>
      <c r="I549" s="7" t="b">
        <v>0</v>
      </c>
      <c r="J549" s="22">
        <f>--Table1[[#This Row],[HOLIDAY]]</f>
        <v>0</v>
      </c>
      <c r="K549" s="9">
        <v>1</v>
      </c>
      <c r="L549" s="7">
        <v>2</v>
      </c>
      <c r="M549" s="7">
        <f>LEN(TEXT(Table1[[#This Row],[WEATHER]],"0"))</f>
        <v>1</v>
      </c>
      <c r="N549" s="36">
        <v>0.16</v>
      </c>
      <c r="O549" s="37">
        <f>VLOOKUP(Table1[[#This Row],[INSTANT]],[1]dataset_2!$A:$G,2,FALSE)</f>
        <v>0.2424</v>
      </c>
      <c r="P549" s="37">
        <f>VLOOKUP(Table1[[#This Row],[INSTANT]],[1]dataset_2!$A:$G,3,0)</f>
        <v>0.6</v>
      </c>
      <c r="Q549" s="37">
        <f>VLOOKUP(Table1[[#This Row],[INSTANT]],[1]dataset_2!$A:$D,4,FALSE)</f>
        <v>0.1343</v>
      </c>
      <c r="R549" s="37">
        <f>VLOOKUP(Table1[[#This Row],[INSTANT]],[1]dataset_2!$A:$G,5,0)</f>
        <v>6</v>
      </c>
      <c r="S549" s="38">
        <f>VLOOKUP(Table1[[#This Row],[INSTANT]],[1]dataset_2!$A:$G,6,0)</f>
        <v>55</v>
      </c>
      <c r="T549" s="38">
        <f>VLOOKUP(Table1[[#This Row],[INSTANT]],[1]dataset_2!$A:$G,7,0)</f>
        <v>61</v>
      </c>
    </row>
    <row r="550" spans="1:20" ht="13" x14ac:dyDescent="0.15">
      <c r="A550" s="35">
        <v>549</v>
      </c>
      <c r="B550" s="27">
        <v>40568</v>
      </c>
      <c r="C550" s="8" t="str">
        <f t="shared" si="16"/>
        <v>2011</v>
      </c>
      <c r="D550" s="8" t="str">
        <f t="shared" si="17"/>
        <v>25</v>
      </c>
      <c r="E550" s="7">
        <v>1</v>
      </c>
      <c r="F550" s="7">
        <v>0</v>
      </c>
      <c r="G550" s="7">
        <v>1</v>
      </c>
      <c r="H550" s="7">
        <v>0</v>
      </c>
      <c r="I550" s="7" t="b">
        <v>0</v>
      </c>
      <c r="J550" s="22">
        <f>--Table1[[#This Row],[HOLIDAY]]</f>
        <v>0</v>
      </c>
      <c r="K550" s="9">
        <v>2</v>
      </c>
      <c r="L550" s="7">
        <v>2</v>
      </c>
      <c r="M550" s="7">
        <f>LEN(TEXT(Table1[[#This Row],[WEATHER]],"0"))</f>
        <v>1</v>
      </c>
      <c r="N550" s="36">
        <v>0.16</v>
      </c>
      <c r="O550" s="37">
        <f>VLOOKUP(Table1[[#This Row],[INSTANT]],[1]dataset_2!$A:$G,2,FALSE)</f>
        <v>0.28789999999999999</v>
      </c>
      <c r="P550" s="37">
        <f>VLOOKUP(Table1[[#This Row],[INSTANT]],[1]dataset_2!$A:$G,3,0)</f>
        <v>0.56000000000000005</v>
      </c>
      <c r="Q550" s="37">
        <f>VLOOKUP(Table1[[#This Row],[INSTANT]],[1]dataset_2!$A:$D,4,FALSE)</f>
        <v>8.9599999999999999E-2</v>
      </c>
      <c r="R550" s="37">
        <f>VLOOKUP(Table1[[#This Row],[INSTANT]],[1]dataset_2!$A:$G,5,0)</f>
        <v>21</v>
      </c>
      <c r="S550" s="38">
        <f>VLOOKUP(Table1[[#This Row],[INSTANT]],[1]dataset_2!$A:$G,6,0)</f>
        <v>85</v>
      </c>
      <c r="T550" s="38">
        <f>VLOOKUP(Table1[[#This Row],[INSTANT]],[1]dataset_2!$A:$G,7,0)</f>
        <v>106</v>
      </c>
    </row>
    <row r="551" spans="1:20" ht="13" x14ac:dyDescent="0.15">
      <c r="A551" s="35">
        <v>550</v>
      </c>
      <c r="B551" s="27">
        <v>40568</v>
      </c>
      <c r="C551" s="8" t="str">
        <f t="shared" si="16"/>
        <v>2011</v>
      </c>
      <c r="D551" s="8" t="str">
        <f t="shared" si="17"/>
        <v>25</v>
      </c>
      <c r="E551" s="7">
        <v>1</v>
      </c>
      <c r="F551" s="7">
        <v>0</v>
      </c>
      <c r="G551" s="7">
        <v>1</v>
      </c>
      <c r="H551" s="7">
        <v>1</v>
      </c>
      <c r="I551" s="7" t="b">
        <v>0</v>
      </c>
      <c r="J551" s="22">
        <f>--Table1[[#This Row],[HOLIDAY]]</f>
        <v>0</v>
      </c>
      <c r="K551" s="9">
        <v>2</v>
      </c>
      <c r="L551" s="7">
        <v>2</v>
      </c>
      <c r="M551" s="7">
        <f>LEN(TEXT(Table1[[#This Row],[WEATHER]],"0"))</f>
        <v>1</v>
      </c>
      <c r="N551" s="36">
        <v>0.16</v>
      </c>
      <c r="O551" s="37">
        <f>VLOOKUP(Table1[[#This Row],[INSTANT]],[1]dataset_2!$A:$G,2,FALSE)</f>
        <v>0.2727</v>
      </c>
      <c r="P551" s="37">
        <f>VLOOKUP(Table1[[#This Row],[INSTANT]],[1]dataset_2!$A:$G,3,0)</f>
        <v>0.56000000000000005</v>
      </c>
      <c r="Q551" s="37">
        <f>VLOOKUP(Table1[[#This Row],[INSTANT]],[1]dataset_2!$A:$D,4,FALSE)</f>
        <v>0.1343</v>
      </c>
      <c r="R551" s="37">
        <f>VLOOKUP(Table1[[#This Row],[INSTANT]],[1]dataset_2!$A:$G,5,0)</f>
        <v>21</v>
      </c>
      <c r="S551" s="38">
        <f>VLOOKUP(Table1[[#This Row],[INSTANT]],[1]dataset_2!$A:$G,6,0)</f>
        <v>72</v>
      </c>
      <c r="T551" s="38">
        <f>VLOOKUP(Table1[[#This Row],[INSTANT]],[1]dataset_2!$A:$G,7,0)</f>
        <v>93</v>
      </c>
    </row>
    <row r="552" spans="1:20" ht="13" x14ac:dyDescent="0.15">
      <c r="A552" s="35">
        <v>551</v>
      </c>
      <c r="B552" s="27">
        <v>40568</v>
      </c>
      <c r="C552" s="8" t="str">
        <f t="shared" si="16"/>
        <v>2011</v>
      </c>
      <c r="D552" s="8" t="str">
        <f t="shared" si="17"/>
        <v>25</v>
      </c>
      <c r="E552" s="7">
        <v>1</v>
      </c>
      <c r="F552" s="7">
        <v>0</v>
      </c>
      <c r="G552" s="7">
        <v>1</v>
      </c>
      <c r="H552" s="7">
        <v>2</v>
      </c>
      <c r="I552" s="7" t="b">
        <v>0</v>
      </c>
      <c r="J552" s="22">
        <f>--Table1[[#This Row],[HOLIDAY]]</f>
        <v>0</v>
      </c>
      <c r="K552" s="9">
        <v>2</v>
      </c>
      <c r="L552" s="7">
        <v>1</v>
      </c>
      <c r="M552" s="7">
        <f>LEN(TEXT(Table1[[#This Row],[WEATHER]],"0"))</f>
        <v>1</v>
      </c>
      <c r="N552" s="36">
        <v>0.16</v>
      </c>
      <c r="O552" s="37">
        <f>VLOOKUP(Table1[[#This Row],[INSTANT]],[1]dataset_2!$A:$G,2,FALSE)</f>
        <v>0.33329999999999999</v>
      </c>
      <c r="P552" s="37">
        <f>VLOOKUP(Table1[[#This Row],[INSTANT]],[1]dataset_2!$A:$G,3,0)</f>
        <v>0.45</v>
      </c>
      <c r="Q552" s="37">
        <f>VLOOKUP(Table1[[#This Row],[INSTANT]],[1]dataset_2!$A:$D,4,FALSE)</f>
        <v>0</v>
      </c>
      <c r="R552" s="37">
        <f>VLOOKUP(Table1[[#This Row],[INSTANT]],[1]dataset_2!$A:$G,5,0)</f>
        <v>11</v>
      </c>
      <c r="S552" s="38">
        <f>VLOOKUP(Table1[[#This Row],[INSTANT]],[1]dataset_2!$A:$G,6,0)</f>
        <v>57</v>
      </c>
      <c r="T552" s="38">
        <f>VLOOKUP(Table1[[#This Row],[INSTANT]],[1]dataset_2!$A:$G,7,0)</f>
        <v>68</v>
      </c>
    </row>
    <row r="553" spans="1:20" ht="13" x14ac:dyDescent="0.15">
      <c r="A553" s="35">
        <v>552</v>
      </c>
      <c r="B553" s="27">
        <v>40568</v>
      </c>
      <c r="C553" s="8" t="str">
        <f t="shared" si="16"/>
        <v>2011</v>
      </c>
      <c r="D553" s="8" t="str">
        <f t="shared" si="17"/>
        <v>25</v>
      </c>
      <c r="E553" s="7">
        <v>1</v>
      </c>
      <c r="F553" s="7">
        <v>0</v>
      </c>
      <c r="G553" s="7">
        <v>1</v>
      </c>
      <c r="H553" s="7">
        <v>4</v>
      </c>
      <c r="I553" s="7" t="b">
        <v>0</v>
      </c>
      <c r="J553" s="22">
        <f>--Table1[[#This Row],[HOLIDAY]]</f>
        <v>0</v>
      </c>
      <c r="K553" s="9">
        <v>2</v>
      </c>
      <c r="L553" s="7">
        <v>1</v>
      </c>
      <c r="M553" s="7">
        <f>LEN(TEXT(Table1[[#This Row],[WEATHER]],"0"))</f>
        <v>1</v>
      </c>
      <c r="N553" s="36">
        <v>0.14000000000000001</v>
      </c>
      <c r="O553" s="37">
        <f>VLOOKUP(Table1[[#This Row],[INSTANT]],[1]dataset_2!$A:$G,2,FALSE)</f>
        <v>0.34849999999999998</v>
      </c>
      <c r="P553" s="37">
        <f>VLOOKUP(Table1[[#This Row],[INSTANT]],[1]dataset_2!$A:$G,3,0)</f>
        <v>0.42</v>
      </c>
      <c r="Q553" s="37">
        <f>VLOOKUP(Table1[[#This Row],[INSTANT]],[1]dataset_2!$A:$D,4,FALSE)</f>
        <v>0</v>
      </c>
      <c r="R553" s="37">
        <f>VLOOKUP(Table1[[#This Row],[INSTANT]],[1]dataset_2!$A:$G,5,0)</f>
        <v>21</v>
      </c>
      <c r="S553" s="38">
        <f>VLOOKUP(Table1[[#This Row],[INSTANT]],[1]dataset_2!$A:$G,6,0)</f>
        <v>63</v>
      </c>
      <c r="T553" s="38">
        <f>VLOOKUP(Table1[[#This Row],[INSTANT]],[1]dataset_2!$A:$G,7,0)</f>
        <v>84</v>
      </c>
    </row>
    <row r="554" spans="1:20" ht="13" x14ac:dyDescent="0.15">
      <c r="A554" s="35">
        <v>553</v>
      </c>
      <c r="B554" s="27">
        <v>40568</v>
      </c>
      <c r="C554" s="8" t="str">
        <f t="shared" si="16"/>
        <v>2011</v>
      </c>
      <c r="D554" s="8" t="str">
        <f t="shared" si="17"/>
        <v>25</v>
      </c>
      <c r="E554" s="7">
        <v>1</v>
      </c>
      <c r="F554" s="7">
        <v>0</v>
      </c>
      <c r="G554" s="7">
        <v>1</v>
      </c>
      <c r="H554" s="7">
        <v>5</v>
      </c>
      <c r="I554" s="7" t="b">
        <v>0</v>
      </c>
      <c r="J554" s="22">
        <f>--Table1[[#This Row],[HOLIDAY]]</f>
        <v>0</v>
      </c>
      <c r="K554" s="9">
        <v>2</v>
      </c>
      <c r="L554" s="7">
        <v>1</v>
      </c>
      <c r="M554" s="7">
        <f>LEN(TEXT(Table1[[#This Row],[WEATHER]],"0"))</f>
        <v>1</v>
      </c>
      <c r="N554" s="36">
        <v>0.14000000000000001</v>
      </c>
      <c r="O554" s="37">
        <f>VLOOKUP(Table1[[#This Row],[INSTANT]],[1]dataset_2!$A:$G,2,FALSE)</f>
        <v>0.34849999999999998</v>
      </c>
      <c r="P554" s="37">
        <f>VLOOKUP(Table1[[#This Row],[INSTANT]],[1]dataset_2!$A:$G,3,0)</f>
        <v>0.42</v>
      </c>
      <c r="Q554" s="37">
        <f>VLOOKUP(Table1[[#This Row],[INSTANT]],[1]dataset_2!$A:$D,4,FALSE)</f>
        <v>0</v>
      </c>
      <c r="R554" s="37">
        <f>VLOOKUP(Table1[[#This Row],[INSTANT]],[1]dataset_2!$A:$G,5,0)</f>
        <v>14</v>
      </c>
      <c r="S554" s="38">
        <f>VLOOKUP(Table1[[#This Row],[INSTANT]],[1]dataset_2!$A:$G,6,0)</f>
        <v>102</v>
      </c>
      <c r="T554" s="38">
        <f>VLOOKUP(Table1[[#This Row],[INSTANT]],[1]dataset_2!$A:$G,7,0)</f>
        <v>116</v>
      </c>
    </row>
    <row r="555" spans="1:20" ht="13" x14ac:dyDescent="0.15">
      <c r="A555" s="35">
        <v>554</v>
      </c>
      <c r="B555" s="27">
        <v>40568</v>
      </c>
      <c r="C555" s="8" t="str">
        <f t="shared" si="16"/>
        <v>2011</v>
      </c>
      <c r="D555" s="8" t="str">
        <f t="shared" si="17"/>
        <v>25</v>
      </c>
      <c r="E555" s="7">
        <v>1</v>
      </c>
      <c r="F555" s="7">
        <v>0</v>
      </c>
      <c r="G555" s="7">
        <v>1</v>
      </c>
      <c r="H555" s="7">
        <v>6</v>
      </c>
      <c r="I555" s="7" t="b">
        <v>0</v>
      </c>
      <c r="J555" s="22">
        <f>--Table1[[#This Row],[HOLIDAY]]</f>
        <v>0</v>
      </c>
      <c r="K555" s="9">
        <v>2</v>
      </c>
      <c r="L555" s="7">
        <v>1</v>
      </c>
      <c r="M555" s="7">
        <f>LEN(TEXT(Table1[[#This Row],[WEATHER]],"0"))</f>
        <v>1</v>
      </c>
      <c r="N555" s="36">
        <v>0.16</v>
      </c>
      <c r="O555" s="37">
        <f>VLOOKUP(Table1[[#This Row],[INSTANT]],[1]dataset_2!$A:$G,2,FALSE)</f>
        <v>0.33329999999999999</v>
      </c>
      <c r="P555" s="37">
        <f>VLOOKUP(Table1[[#This Row],[INSTANT]],[1]dataset_2!$A:$G,3,0)</f>
        <v>0.45</v>
      </c>
      <c r="Q555" s="37">
        <f>VLOOKUP(Table1[[#This Row],[INSTANT]],[1]dataset_2!$A:$D,4,FALSE)</f>
        <v>0</v>
      </c>
      <c r="R555" s="37">
        <f>VLOOKUP(Table1[[#This Row],[INSTANT]],[1]dataset_2!$A:$G,5,0)</f>
        <v>14</v>
      </c>
      <c r="S555" s="38">
        <f>VLOOKUP(Table1[[#This Row],[INSTANT]],[1]dataset_2!$A:$G,6,0)</f>
        <v>208</v>
      </c>
      <c r="T555" s="38">
        <f>VLOOKUP(Table1[[#This Row],[INSTANT]],[1]dataset_2!$A:$G,7,0)</f>
        <v>222</v>
      </c>
    </row>
    <row r="556" spans="1:20" ht="13" x14ac:dyDescent="0.15">
      <c r="A556" s="35">
        <v>555</v>
      </c>
      <c r="B556" s="27">
        <v>40568</v>
      </c>
      <c r="C556" s="8" t="str">
        <f t="shared" si="16"/>
        <v>2011</v>
      </c>
      <c r="D556" s="8" t="str">
        <f t="shared" si="17"/>
        <v>25</v>
      </c>
      <c r="E556" s="7">
        <v>1</v>
      </c>
      <c r="F556" s="7">
        <v>0</v>
      </c>
      <c r="G556" s="7">
        <v>1</v>
      </c>
      <c r="H556" s="7">
        <v>7</v>
      </c>
      <c r="I556" s="7" t="b">
        <v>0</v>
      </c>
      <c r="J556" s="22">
        <f>--Table1[[#This Row],[HOLIDAY]]</f>
        <v>0</v>
      </c>
      <c r="K556" s="9">
        <v>2</v>
      </c>
      <c r="L556" s="7">
        <v>1</v>
      </c>
      <c r="M556" s="7">
        <f>LEN(TEXT(Table1[[#This Row],[WEATHER]],"0"))</f>
        <v>1</v>
      </c>
      <c r="N556" s="36">
        <v>0.16</v>
      </c>
      <c r="O556" s="37">
        <f>VLOOKUP(Table1[[#This Row],[INSTANT]],[1]dataset_2!$A:$G,2,FALSE)</f>
        <v>0.31819999999999998</v>
      </c>
      <c r="P556" s="37">
        <f>VLOOKUP(Table1[[#This Row],[INSTANT]],[1]dataset_2!$A:$G,3,0)</f>
        <v>0.49</v>
      </c>
      <c r="Q556" s="37">
        <f>VLOOKUP(Table1[[#This Row],[INSTANT]],[1]dataset_2!$A:$D,4,FALSE)</f>
        <v>8.9599999999999999E-2</v>
      </c>
      <c r="R556" s="37">
        <f>VLOOKUP(Table1[[#This Row],[INSTANT]],[1]dataset_2!$A:$G,5,0)</f>
        <v>7</v>
      </c>
      <c r="S556" s="38">
        <f>VLOOKUP(Table1[[#This Row],[INSTANT]],[1]dataset_2!$A:$G,6,0)</f>
        <v>218</v>
      </c>
      <c r="T556" s="38">
        <f>VLOOKUP(Table1[[#This Row],[INSTANT]],[1]dataset_2!$A:$G,7,0)</f>
        <v>225</v>
      </c>
    </row>
    <row r="557" spans="1:20" ht="13" x14ac:dyDescent="0.15">
      <c r="A557" s="35">
        <v>556</v>
      </c>
      <c r="B557" s="27">
        <v>40568</v>
      </c>
      <c r="C557" s="8" t="str">
        <f t="shared" si="16"/>
        <v>2011</v>
      </c>
      <c r="D557" s="8" t="str">
        <f t="shared" si="17"/>
        <v>25</v>
      </c>
      <c r="E557" s="7">
        <v>1</v>
      </c>
      <c r="F557" s="7">
        <v>0</v>
      </c>
      <c r="G557" s="7">
        <v>1</v>
      </c>
      <c r="H557" s="7">
        <v>8</v>
      </c>
      <c r="I557" s="7" t="b">
        <v>0</v>
      </c>
      <c r="J557" s="22">
        <f>--Table1[[#This Row],[HOLIDAY]]</f>
        <v>0</v>
      </c>
      <c r="K557" s="9">
        <v>2</v>
      </c>
      <c r="L557" s="7">
        <v>2</v>
      </c>
      <c r="M557" s="7">
        <f>LEN(TEXT(Table1[[#This Row],[WEATHER]],"0"))</f>
        <v>1</v>
      </c>
      <c r="N557" s="36">
        <v>0.16</v>
      </c>
      <c r="O557" s="37">
        <f>VLOOKUP(Table1[[#This Row],[INSTANT]],[1]dataset_2!$A:$G,2,FALSE)</f>
        <v>0.2576</v>
      </c>
      <c r="P557" s="37">
        <f>VLOOKUP(Table1[[#This Row],[INSTANT]],[1]dataset_2!$A:$G,3,0)</f>
        <v>0.65</v>
      </c>
      <c r="Q557" s="37">
        <f>VLOOKUP(Table1[[#This Row],[INSTANT]],[1]dataset_2!$A:$D,4,FALSE)</f>
        <v>0.16420000000000001</v>
      </c>
      <c r="R557" s="37">
        <f>VLOOKUP(Table1[[#This Row],[INSTANT]],[1]dataset_2!$A:$G,5,0)</f>
        <v>13</v>
      </c>
      <c r="S557" s="38">
        <f>VLOOKUP(Table1[[#This Row],[INSTANT]],[1]dataset_2!$A:$G,6,0)</f>
        <v>133</v>
      </c>
      <c r="T557" s="38">
        <f>VLOOKUP(Table1[[#This Row],[INSTANT]],[1]dataset_2!$A:$G,7,0)</f>
        <v>146</v>
      </c>
    </row>
    <row r="558" spans="1:20" ht="13" x14ac:dyDescent="0.15">
      <c r="A558" s="35">
        <v>557</v>
      </c>
      <c r="B558" s="27">
        <v>40568</v>
      </c>
      <c r="C558" s="8" t="str">
        <f t="shared" si="16"/>
        <v>2011</v>
      </c>
      <c r="D558" s="8" t="str">
        <f t="shared" si="17"/>
        <v>25</v>
      </c>
      <c r="E558" s="7">
        <v>1</v>
      </c>
      <c r="F558" s="7">
        <v>0</v>
      </c>
      <c r="G558" s="7">
        <v>1</v>
      </c>
      <c r="H558" s="7">
        <v>9</v>
      </c>
      <c r="I558" s="7" t="b">
        <v>0</v>
      </c>
      <c r="J558" s="22">
        <f>--Table1[[#This Row],[HOLIDAY]]</f>
        <v>0</v>
      </c>
      <c r="K558" s="9">
        <v>2</v>
      </c>
      <c r="L558" s="7">
        <v>2</v>
      </c>
      <c r="M558" s="7">
        <f>LEN(TEXT(Table1[[#This Row],[WEATHER]],"0"))</f>
        <v>1</v>
      </c>
      <c r="N558" s="36">
        <v>0.2</v>
      </c>
      <c r="O558" s="37">
        <f>VLOOKUP(Table1[[#This Row],[INSTANT]],[1]dataset_2!$A:$G,2,FALSE)</f>
        <v>0.2273</v>
      </c>
      <c r="P558" s="37">
        <f>VLOOKUP(Table1[[#This Row],[INSTANT]],[1]dataset_2!$A:$G,3,0)</f>
        <v>0.65</v>
      </c>
      <c r="Q558" s="37">
        <f>VLOOKUP(Table1[[#This Row],[INSTANT]],[1]dataset_2!$A:$D,4,FALSE)</f>
        <v>0.19400000000000001</v>
      </c>
      <c r="R558" s="37">
        <f>VLOOKUP(Table1[[#This Row],[INSTANT]],[1]dataset_2!$A:$G,5,0)</f>
        <v>16</v>
      </c>
      <c r="S558" s="38">
        <f>VLOOKUP(Table1[[#This Row],[INSTANT]],[1]dataset_2!$A:$G,6,0)</f>
        <v>103</v>
      </c>
      <c r="T558" s="38">
        <f>VLOOKUP(Table1[[#This Row],[INSTANT]],[1]dataset_2!$A:$G,7,0)</f>
        <v>119</v>
      </c>
    </row>
    <row r="559" spans="1:20" ht="13" x14ac:dyDescent="0.15">
      <c r="A559" s="35">
        <v>558</v>
      </c>
      <c r="B559" s="27">
        <v>40568</v>
      </c>
      <c r="C559" s="8" t="str">
        <f t="shared" si="16"/>
        <v>2011</v>
      </c>
      <c r="D559" s="8" t="str">
        <f t="shared" si="17"/>
        <v>25</v>
      </c>
      <c r="E559" s="7">
        <v>1</v>
      </c>
      <c r="F559" s="7">
        <v>0</v>
      </c>
      <c r="G559" s="7">
        <v>1</v>
      </c>
      <c r="H559" s="7">
        <v>10</v>
      </c>
      <c r="I559" s="7" t="b">
        <v>0</v>
      </c>
      <c r="J559" s="22">
        <f>--Table1[[#This Row],[HOLIDAY]]</f>
        <v>0</v>
      </c>
      <c r="K559" s="9">
        <v>2</v>
      </c>
      <c r="L559" s="7">
        <v>2</v>
      </c>
      <c r="M559" s="7">
        <f>LEN(TEXT(Table1[[#This Row],[WEATHER]],"0"))</f>
        <v>1</v>
      </c>
      <c r="N559" s="36">
        <v>0.22</v>
      </c>
      <c r="O559" s="37">
        <f>VLOOKUP(Table1[[#This Row],[INSTANT]],[1]dataset_2!$A:$G,2,FALSE)</f>
        <v>0.2273</v>
      </c>
      <c r="P559" s="37">
        <f>VLOOKUP(Table1[[#This Row],[INSTANT]],[1]dataset_2!$A:$G,3,0)</f>
        <v>0.65</v>
      </c>
      <c r="Q559" s="37">
        <f>VLOOKUP(Table1[[#This Row],[INSTANT]],[1]dataset_2!$A:$D,4,FALSE)</f>
        <v>0.19400000000000001</v>
      </c>
      <c r="R559" s="37">
        <f>VLOOKUP(Table1[[#This Row],[INSTANT]],[1]dataset_2!$A:$G,5,0)</f>
        <v>5</v>
      </c>
      <c r="S559" s="38">
        <f>VLOOKUP(Table1[[#This Row],[INSTANT]],[1]dataset_2!$A:$G,6,0)</f>
        <v>40</v>
      </c>
      <c r="T559" s="38">
        <f>VLOOKUP(Table1[[#This Row],[INSTANT]],[1]dataset_2!$A:$G,7,0)</f>
        <v>45</v>
      </c>
    </row>
    <row r="560" spans="1:20" ht="13" x14ac:dyDescent="0.15">
      <c r="A560" s="35">
        <v>559</v>
      </c>
      <c r="B560" s="27">
        <v>40568</v>
      </c>
      <c r="C560" s="8" t="str">
        <f t="shared" si="16"/>
        <v>2011</v>
      </c>
      <c r="D560" s="8" t="str">
        <f t="shared" si="17"/>
        <v>25</v>
      </c>
      <c r="E560" s="7">
        <v>1</v>
      </c>
      <c r="F560" s="7">
        <v>0</v>
      </c>
      <c r="G560" s="7">
        <v>1</v>
      </c>
      <c r="H560" s="7">
        <v>11</v>
      </c>
      <c r="I560" s="7" t="b">
        <v>0</v>
      </c>
      <c r="J560" s="22">
        <f>--Table1[[#This Row],[HOLIDAY]]</f>
        <v>0</v>
      </c>
      <c r="K560" s="9">
        <v>2</v>
      </c>
      <c r="L560" s="7">
        <v>2</v>
      </c>
      <c r="M560" s="7">
        <f>LEN(TEXT(Table1[[#This Row],[WEATHER]],"0"))</f>
        <v>1</v>
      </c>
      <c r="N560" s="36">
        <v>0.24</v>
      </c>
      <c r="O560" s="37">
        <f>VLOOKUP(Table1[[#This Row],[INSTANT]],[1]dataset_2!$A:$G,2,FALSE)</f>
        <v>0.2273</v>
      </c>
      <c r="P560" s="37">
        <f>VLOOKUP(Table1[[#This Row],[INSTANT]],[1]dataset_2!$A:$G,3,0)</f>
        <v>0.64</v>
      </c>
      <c r="Q560" s="37">
        <f>VLOOKUP(Table1[[#This Row],[INSTANT]],[1]dataset_2!$A:$D,4,FALSE)</f>
        <v>0.16420000000000001</v>
      </c>
      <c r="R560" s="37">
        <f>VLOOKUP(Table1[[#This Row],[INSTANT]],[1]dataset_2!$A:$G,5,0)</f>
        <v>4</v>
      </c>
      <c r="S560" s="38">
        <f>VLOOKUP(Table1[[#This Row],[INSTANT]],[1]dataset_2!$A:$G,6,0)</f>
        <v>49</v>
      </c>
      <c r="T560" s="38">
        <f>VLOOKUP(Table1[[#This Row],[INSTANT]],[1]dataset_2!$A:$G,7,0)</f>
        <v>53</v>
      </c>
    </row>
    <row r="561" spans="1:20" ht="13" x14ac:dyDescent="0.15">
      <c r="A561" s="35">
        <v>560</v>
      </c>
      <c r="B561" s="27">
        <v>40568</v>
      </c>
      <c r="C561" s="8" t="str">
        <f t="shared" si="16"/>
        <v>2011</v>
      </c>
      <c r="D561" s="8" t="str">
        <f t="shared" si="17"/>
        <v>25</v>
      </c>
      <c r="E561" s="7">
        <v>1</v>
      </c>
      <c r="F561" s="7">
        <v>0</v>
      </c>
      <c r="G561" s="7">
        <v>1</v>
      </c>
      <c r="H561" s="7">
        <v>12</v>
      </c>
      <c r="I561" s="7" t="b">
        <v>0</v>
      </c>
      <c r="J561" s="22">
        <f>--Table1[[#This Row],[HOLIDAY]]</f>
        <v>0</v>
      </c>
      <c r="K561" s="9">
        <v>2</v>
      </c>
      <c r="L561" s="7">
        <v>2</v>
      </c>
      <c r="M561" s="7">
        <f>LEN(TEXT(Table1[[#This Row],[WEATHER]],"0"))</f>
        <v>1</v>
      </c>
      <c r="N561" s="36">
        <v>0.26</v>
      </c>
      <c r="O561" s="37">
        <f>VLOOKUP(Table1[[#This Row],[INSTANT]],[1]dataset_2!$A:$G,2,FALSE)</f>
        <v>0.2273</v>
      </c>
      <c r="P561" s="37">
        <f>VLOOKUP(Table1[[#This Row],[INSTANT]],[1]dataset_2!$A:$G,3,0)</f>
        <v>0.64</v>
      </c>
      <c r="Q561" s="37">
        <f>VLOOKUP(Table1[[#This Row],[INSTANT]],[1]dataset_2!$A:$D,4,FALSE)</f>
        <v>0.16420000000000001</v>
      </c>
      <c r="R561" s="37">
        <f>VLOOKUP(Table1[[#This Row],[INSTANT]],[1]dataset_2!$A:$G,5,0)</f>
        <v>3</v>
      </c>
      <c r="S561" s="38">
        <f>VLOOKUP(Table1[[#This Row],[INSTANT]],[1]dataset_2!$A:$G,6,0)</f>
        <v>37</v>
      </c>
      <c r="T561" s="38">
        <f>VLOOKUP(Table1[[#This Row],[INSTANT]],[1]dataset_2!$A:$G,7,0)</f>
        <v>40</v>
      </c>
    </row>
    <row r="562" spans="1:20" ht="13" x14ac:dyDescent="0.15">
      <c r="A562" s="35">
        <v>561</v>
      </c>
      <c r="B562" s="27">
        <v>40568</v>
      </c>
      <c r="C562" s="8" t="str">
        <f t="shared" si="16"/>
        <v>2011</v>
      </c>
      <c r="D562" s="8" t="str">
        <f t="shared" si="17"/>
        <v>25</v>
      </c>
      <c r="E562" s="7">
        <v>1</v>
      </c>
      <c r="F562" s="7">
        <v>0</v>
      </c>
      <c r="G562" s="7">
        <v>1</v>
      </c>
      <c r="H562" s="7">
        <v>13</v>
      </c>
      <c r="I562" s="7" t="b">
        <v>0</v>
      </c>
      <c r="J562" s="22">
        <f>--Table1[[#This Row],[HOLIDAY]]</f>
        <v>0</v>
      </c>
      <c r="K562" s="9">
        <v>2</v>
      </c>
      <c r="L562" s="7">
        <v>2</v>
      </c>
      <c r="M562" s="7">
        <f>LEN(TEXT(Table1[[#This Row],[WEATHER]],"0"))</f>
        <v>1</v>
      </c>
      <c r="N562" s="36">
        <v>0.26</v>
      </c>
      <c r="O562" s="37">
        <f>VLOOKUP(Table1[[#This Row],[INSTANT]],[1]dataset_2!$A:$G,2,FALSE)</f>
        <v>0.2273</v>
      </c>
      <c r="P562" s="37">
        <f>VLOOKUP(Table1[[#This Row],[INSTANT]],[1]dataset_2!$A:$G,3,0)</f>
        <v>0.69</v>
      </c>
      <c r="Q562" s="37">
        <f>VLOOKUP(Table1[[#This Row],[INSTANT]],[1]dataset_2!$A:$D,4,FALSE)</f>
        <v>0.1343</v>
      </c>
      <c r="R562" s="37">
        <f>VLOOKUP(Table1[[#This Row],[INSTANT]],[1]dataset_2!$A:$G,5,0)</f>
        <v>3</v>
      </c>
      <c r="S562" s="38">
        <f>VLOOKUP(Table1[[#This Row],[INSTANT]],[1]dataset_2!$A:$G,6,0)</f>
        <v>14</v>
      </c>
      <c r="T562" s="38">
        <f>VLOOKUP(Table1[[#This Row],[INSTANT]],[1]dataset_2!$A:$G,7,0)</f>
        <v>17</v>
      </c>
    </row>
    <row r="563" spans="1:20" ht="13" x14ac:dyDescent="0.15">
      <c r="A563" s="35">
        <v>562</v>
      </c>
      <c r="B563" s="27">
        <v>40568</v>
      </c>
      <c r="C563" s="8" t="str">
        <f t="shared" si="16"/>
        <v>2011</v>
      </c>
      <c r="D563" s="8" t="str">
        <f t="shared" si="17"/>
        <v>25</v>
      </c>
      <c r="E563" s="7">
        <v>1</v>
      </c>
      <c r="F563" s="7">
        <v>0</v>
      </c>
      <c r="G563" s="7">
        <v>1</v>
      </c>
      <c r="H563" s="7">
        <v>14</v>
      </c>
      <c r="I563" s="7" t="b">
        <v>0</v>
      </c>
      <c r="J563" s="22">
        <f>--Table1[[#This Row],[HOLIDAY]]</f>
        <v>0</v>
      </c>
      <c r="K563" s="9">
        <v>2</v>
      </c>
      <c r="L563" s="7">
        <v>2</v>
      </c>
      <c r="M563" s="7">
        <f>LEN(TEXT(Table1[[#This Row],[WEATHER]],"0"))</f>
        <v>1</v>
      </c>
      <c r="N563" s="36">
        <v>0.3</v>
      </c>
      <c r="O563" s="37">
        <f>VLOOKUP(Table1[[#This Row],[INSTANT]],[1]dataset_2!$A:$G,2,FALSE)</f>
        <v>0.2424</v>
      </c>
      <c r="P563" s="37">
        <f>VLOOKUP(Table1[[#This Row],[INSTANT]],[1]dataset_2!$A:$G,3,0)</f>
        <v>0.65</v>
      </c>
      <c r="Q563" s="37">
        <f>VLOOKUP(Table1[[#This Row],[INSTANT]],[1]dataset_2!$A:$D,4,FALSE)</f>
        <v>0.1343</v>
      </c>
      <c r="R563" s="37">
        <f>VLOOKUP(Table1[[#This Row],[INSTANT]],[1]dataset_2!$A:$G,5,0)</f>
        <v>0</v>
      </c>
      <c r="S563" s="38">
        <f>VLOOKUP(Table1[[#This Row],[INSTANT]],[1]dataset_2!$A:$G,6,0)</f>
        <v>5</v>
      </c>
      <c r="T563" s="38">
        <f>VLOOKUP(Table1[[#This Row],[INSTANT]],[1]dataset_2!$A:$G,7,0)</f>
        <v>5</v>
      </c>
    </row>
    <row r="564" spans="1:20" ht="13" x14ac:dyDescent="0.15">
      <c r="A564" s="35">
        <v>563</v>
      </c>
      <c r="B564" s="27">
        <v>40568</v>
      </c>
      <c r="C564" s="8" t="str">
        <f t="shared" si="16"/>
        <v>2011</v>
      </c>
      <c r="D564" s="8" t="str">
        <f t="shared" si="17"/>
        <v>25</v>
      </c>
      <c r="E564" s="7">
        <v>1</v>
      </c>
      <c r="F564" s="7">
        <v>0</v>
      </c>
      <c r="G564" s="7">
        <v>1</v>
      </c>
      <c r="H564" s="7">
        <v>15</v>
      </c>
      <c r="I564" s="7" t="b">
        <v>0</v>
      </c>
      <c r="J564" s="22">
        <f>--Table1[[#This Row],[HOLIDAY]]</f>
        <v>0</v>
      </c>
      <c r="K564" s="9">
        <v>2</v>
      </c>
      <c r="L564" s="7">
        <v>2</v>
      </c>
      <c r="M564" s="7">
        <f>LEN(TEXT(Table1[[#This Row],[WEATHER]],"0"))</f>
        <v>1</v>
      </c>
      <c r="N564" s="36">
        <v>0.32</v>
      </c>
      <c r="O564" s="37">
        <f>VLOOKUP(Table1[[#This Row],[INSTANT]],[1]dataset_2!$A:$G,2,FALSE)</f>
        <v>0.2273</v>
      </c>
      <c r="P564" s="37">
        <f>VLOOKUP(Table1[[#This Row],[INSTANT]],[1]dataset_2!$A:$G,3,0)</f>
        <v>0.69</v>
      </c>
      <c r="Q564" s="37">
        <f>VLOOKUP(Table1[[#This Row],[INSTANT]],[1]dataset_2!$A:$D,4,FALSE)</f>
        <v>0.19400000000000001</v>
      </c>
      <c r="R564" s="37">
        <f>VLOOKUP(Table1[[#This Row],[INSTANT]],[1]dataset_2!$A:$G,5,0)</f>
        <v>3</v>
      </c>
      <c r="S564" s="38">
        <f>VLOOKUP(Table1[[#This Row],[INSTANT]],[1]dataset_2!$A:$G,6,0)</f>
        <v>7</v>
      </c>
      <c r="T564" s="38">
        <f>VLOOKUP(Table1[[#This Row],[INSTANT]],[1]dataset_2!$A:$G,7,0)</f>
        <v>10</v>
      </c>
    </row>
    <row r="565" spans="1:20" ht="13" x14ac:dyDescent="0.15">
      <c r="A565" s="35">
        <v>564</v>
      </c>
      <c r="B565" s="27">
        <v>40568</v>
      </c>
      <c r="C565" s="8" t="str">
        <f t="shared" si="16"/>
        <v>2011</v>
      </c>
      <c r="D565" s="8" t="str">
        <f t="shared" si="17"/>
        <v>25</v>
      </c>
      <c r="E565" s="7">
        <v>1</v>
      </c>
      <c r="F565" s="7">
        <v>0</v>
      </c>
      <c r="G565" s="7">
        <v>1</v>
      </c>
      <c r="H565" s="7">
        <v>16</v>
      </c>
      <c r="I565" s="7" t="b">
        <v>0</v>
      </c>
      <c r="J565" s="22">
        <f>--Table1[[#This Row],[HOLIDAY]]</f>
        <v>0</v>
      </c>
      <c r="K565" s="9">
        <v>2</v>
      </c>
      <c r="L565" s="7">
        <v>2</v>
      </c>
      <c r="M565" s="7">
        <f>LEN(TEXT(Table1[[#This Row],[WEATHER]],"0"))</f>
        <v>1</v>
      </c>
      <c r="N565" s="36">
        <v>0.32</v>
      </c>
      <c r="O565" s="37">
        <f>VLOOKUP(Table1[[#This Row],[INSTANT]],[1]dataset_2!$A:$G,2,FALSE)</f>
        <v>0.18179999999999999</v>
      </c>
      <c r="P565" s="37">
        <f>VLOOKUP(Table1[[#This Row],[INSTANT]],[1]dataset_2!$A:$G,3,0)</f>
        <v>0.86</v>
      </c>
      <c r="Q565" s="37">
        <f>VLOOKUP(Table1[[#This Row],[INSTANT]],[1]dataset_2!$A:$D,4,FALSE)</f>
        <v>0.28360000000000002</v>
      </c>
      <c r="R565" s="37">
        <f>VLOOKUP(Table1[[#This Row],[INSTANT]],[1]dataset_2!$A:$G,5,0)</f>
        <v>0</v>
      </c>
      <c r="S565" s="38">
        <f>VLOOKUP(Table1[[#This Row],[INSTANT]],[1]dataset_2!$A:$G,6,0)</f>
        <v>1</v>
      </c>
      <c r="T565" s="38">
        <f>VLOOKUP(Table1[[#This Row],[INSTANT]],[1]dataset_2!$A:$G,7,0)</f>
        <v>1</v>
      </c>
    </row>
    <row r="566" spans="1:20" ht="13" x14ac:dyDescent="0.15">
      <c r="A566" s="35">
        <v>565</v>
      </c>
      <c r="B566" s="27">
        <v>40568</v>
      </c>
      <c r="C566" s="8" t="str">
        <f t="shared" si="16"/>
        <v>2011</v>
      </c>
      <c r="D566" s="8" t="str">
        <f t="shared" si="17"/>
        <v>25</v>
      </c>
      <c r="E566" s="7">
        <v>1</v>
      </c>
      <c r="F566" s="7">
        <v>0</v>
      </c>
      <c r="G566" s="7">
        <v>1</v>
      </c>
      <c r="H566" s="7">
        <v>17</v>
      </c>
      <c r="I566" s="7" t="b">
        <v>0</v>
      </c>
      <c r="J566" s="22">
        <f>--Table1[[#This Row],[HOLIDAY]]</f>
        <v>0</v>
      </c>
      <c r="K566" s="9">
        <v>2</v>
      </c>
      <c r="L566" s="7">
        <v>1</v>
      </c>
      <c r="M566" s="7">
        <f>LEN(TEXT(Table1[[#This Row],[WEATHER]],"0"))</f>
        <v>1</v>
      </c>
      <c r="N566" s="36">
        <v>0.3</v>
      </c>
      <c r="O566" s="37">
        <f>VLOOKUP(Table1[[#This Row],[INSTANT]],[1]dataset_2!$A:$G,2,FALSE)</f>
        <v>0.18179999999999999</v>
      </c>
      <c r="P566" s="37">
        <f>VLOOKUP(Table1[[#This Row],[INSTANT]],[1]dataset_2!$A:$G,3,0)</f>
        <v>0.86</v>
      </c>
      <c r="Q566" s="37">
        <f>VLOOKUP(Table1[[#This Row],[INSTANT]],[1]dataset_2!$A:$D,4,FALSE)</f>
        <v>0.28360000000000002</v>
      </c>
      <c r="R566" s="37">
        <f>VLOOKUP(Table1[[#This Row],[INSTANT]],[1]dataset_2!$A:$G,5,0)</f>
        <v>0</v>
      </c>
      <c r="S566" s="38">
        <f>VLOOKUP(Table1[[#This Row],[INSTANT]],[1]dataset_2!$A:$G,6,0)</f>
        <v>8</v>
      </c>
      <c r="T566" s="38">
        <f>VLOOKUP(Table1[[#This Row],[INSTANT]],[1]dataset_2!$A:$G,7,0)</f>
        <v>8</v>
      </c>
    </row>
    <row r="567" spans="1:20" ht="13" x14ac:dyDescent="0.15">
      <c r="A567" s="35">
        <v>566</v>
      </c>
      <c r="B567" s="27">
        <v>40568</v>
      </c>
      <c r="C567" s="8" t="str">
        <f t="shared" si="16"/>
        <v>2011</v>
      </c>
      <c r="D567" s="8" t="str">
        <f t="shared" si="17"/>
        <v>25</v>
      </c>
      <c r="E567" s="7">
        <v>1</v>
      </c>
      <c r="F567" s="7">
        <v>0</v>
      </c>
      <c r="G567" s="7">
        <v>1</v>
      </c>
      <c r="H567" s="7">
        <v>18</v>
      </c>
      <c r="I567" s="7" t="b">
        <v>0</v>
      </c>
      <c r="J567" s="22">
        <f>--Table1[[#This Row],[HOLIDAY]]</f>
        <v>0</v>
      </c>
      <c r="K567" s="9">
        <v>2</v>
      </c>
      <c r="L567" s="7">
        <v>2</v>
      </c>
      <c r="M567" s="7">
        <f>LEN(TEXT(Table1[[#This Row],[WEATHER]],"0"))</f>
        <v>1</v>
      </c>
      <c r="N567" s="36">
        <v>0.3</v>
      </c>
      <c r="O567" s="37">
        <f>VLOOKUP(Table1[[#This Row],[INSTANT]],[1]dataset_2!$A:$G,2,FALSE)</f>
        <v>0.21210000000000001</v>
      </c>
      <c r="P567" s="37">
        <f>VLOOKUP(Table1[[#This Row],[INSTANT]],[1]dataset_2!$A:$G,3,0)</f>
        <v>0.87</v>
      </c>
      <c r="Q567" s="37">
        <f>VLOOKUP(Table1[[#This Row],[INSTANT]],[1]dataset_2!$A:$D,4,FALSE)</f>
        <v>0.29849999999999999</v>
      </c>
      <c r="R567" s="37">
        <f>VLOOKUP(Table1[[#This Row],[INSTANT]],[1]dataset_2!$A:$G,5,0)</f>
        <v>1</v>
      </c>
      <c r="S567" s="38">
        <f>VLOOKUP(Table1[[#This Row],[INSTANT]],[1]dataset_2!$A:$G,6,0)</f>
        <v>29</v>
      </c>
      <c r="T567" s="38">
        <f>VLOOKUP(Table1[[#This Row],[INSTANT]],[1]dataset_2!$A:$G,7,0)</f>
        <v>30</v>
      </c>
    </row>
    <row r="568" spans="1:20" ht="13" x14ac:dyDescent="0.15">
      <c r="A568" s="35">
        <v>567</v>
      </c>
      <c r="B568" s="27">
        <v>40568</v>
      </c>
      <c r="C568" s="8" t="str">
        <f t="shared" si="16"/>
        <v>2011</v>
      </c>
      <c r="D568" s="8" t="str">
        <f t="shared" si="17"/>
        <v>25</v>
      </c>
      <c r="E568" s="7">
        <v>1</v>
      </c>
      <c r="F568" s="7">
        <v>0</v>
      </c>
      <c r="G568" s="7">
        <v>1</v>
      </c>
      <c r="H568" s="7">
        <v>19</v>
      </c>
      <c r="I568" s="7" t="b">
        <v>0</v>
      </c>
      <c r="J568" s="22">
        <f>--Table1[[#This Row],[HOLIDAY]]</f>
        <v>0</v>
      </c>
      <c r="K568" s="9">
        <v>2</v>
      </c>
      <c r="L568" s="7">
        <v>2</v>
      </c>
      <c r="M568" s="7">
        <f>LEN(TEXT(Table1[[#This Row],[WEATHER]],"0"))</f>
        <v>1</v>
      </c>
      <c r="N568" s="36">
        <v>0.26</v>
      </c>
      <c r="O568" s="37">
        <f>VLOOKUP(Table1[[#This Row],[INSTANT]],[1]dataset_2!$A:$G,2,FALSE)</f>
        <v>0.21210000000000001</v>
      </c>
      <c r="P568" s="37">
        <f>VLOOKUP(Table1[[#This Row],[INSTANT]],[1]dataset_2!$A:$G,3,0)</f>
        <v>0.87</v>
      </c>
      <c r="Q568" s="37">
        <f>VLOOKUP(Table1[[#This Row],[INSTANT]],[1]dataset_2!$A:$D,4,FALSE)</f>
        <v>0.29849999999999999</v>
      </c>
      <c r="R568" s="37">
        <f>VLOOKUP(Table1[[#This Row],[INSTANT]],[1]dataset_2!$A:$G,5,0)</f>
        <v>3</v>
      </c>
      <c r="S568" s="38">
        <f>VLOOKUP(Table1[[#This Row],[INSTANT]],[1]dataset_2!$A:$G,6,0)</f>
        <v>69</v>
      </c>
      <c r="T568" s="38">
        <f>VLOOKUP(Table1[[#This Row],[INSTANT]],[1]dataset_2!$A:$G,7,0)</f>
        <v>72</v>
      </c>
    </row>
    <row r="569" spans="1:20" ht="13" x14ac:dyDescent="0.15">
      <c r="A569" s="35">
        <v>568</v>
      </c>
      <c r="B569" s="27">
        <v>40568</v>
      </c>
      <c r="C569" s="8" t="str">
        <f t="shared" si="16"/>
        <v>2011</v>
      </c>
      <c r="D569" s="8" t="str">
        <f t="shared" si="17"/>
        <v>25</v>
      </c>
      <c r="E569" s="7">
        <v>1</v>
      </c>
      <c r="F569" s="7">
        <v>0</v>
      </c>
      <c r="G569" s="7">
        <v>1</v>
      </c>
      <c r="H569" s="7">
        <v>20</v>
      </c>
      <c r="I569" s="7" t="b">
        <v>0</v>
      </c>
      <c r="J569" s="22">
        <f>--Table1[[#This Row],[HOLIDAY]]</f>
        <v>0</v>
      </c>
      <c r="K569" s="9">
        <v>2</v>
      </c>
      <c r="L569" s="7">
        <v>1</v>
      </c>
      <c r="M569" s="7">
        <f>LEN(TEXT(Table1[[#This Row],[WEATHER]],"0"))</f>
        <v>1</v>
      </c>
      <c r="N569" s="36">
        <v>0.24</v>
      </c>
      <c r="O569" s="37">
        <f>VLOOKUP(Table1[[#This Row],[INSTANT]],[1]dataset_2!$A:$G,2,FALSE)</f>
        <v>0.21210000000000001</v>
      </c>
      <c r="P569" s="37">
        <f>VLOOKUP(Table1[[#This Row],[INSTANT]],[1]dataset_2!$A:$G,3,0)</f>
        <v>0.87</v>
      </c>
      <c r="Q569" s="37">
        <f>VLOOKUP(Table1[[#This Row],[INSTANT]],[1]dataset_2!$A:$D,4,FALSE)</f>
        <v>0.29849999999999999</v>
      </c>
      <c r="R569" s="37">
        <f>VLOOKUP(Table1[[#This Row],[INSTANT]],[1]dataset_2!$A:$G,5,0)</f>
        <v>3</v>
      </c>
      <c r="S569" s="38">
        <f>VLOOKUP(Table1[[#This Row],[INSTANT]],[1]dataset_2!$A:$G,6,0)</f>
        <v>55</v>
      </c>
      <c r="T569" s="38">
        <f>VLOOKUP(Table1[[#This Row],[INSTANT]],[1]dataset_2!$A:$G,7,0)</f>
        <v>58</v>
      </c>
    </row>
    <row r="570" spans="1:20" ht="13" x14ac:dyDescent="0.15">
      <c r="A570" s="35">
        <v>569</v>
      </c>
      <c r="B570" s="27">
        <v>40568</v>
      </c>
      <c r="C570" s="8" t="str">
        <f t="shared" si="16"/>
        <v>2011</v>
      </c>
      <c r="D570" s="8" t="str">
        <f t="shared" si="17"/>
        <v>25</v>
      </c>
      <c r="E570" s="7">
        <v>1</v>
      </c>
      <c r="F570" s="7">
        <v>0</v>
      </c>
      <c r="G570" s="7">
        <v>1</v>
      </c>
      <c r="H570" s="7">
        <v>21</v>
      </c>
      <c r="I570" s="7" t="b">
        <v>0</v>
      </c>
      <c r="J570" s="22">
        <f>--Table1[[#This Row],[HOLIDAY]]</f>
        <v>0</v>
      </c>
      <c r="K570" s="9">
        <v>2</v>
      </c>
      <c r="L570" s="7">
        <v>1</v>
      </c>
      <c r="M570" s="7">
        <f>LEN(TEXT(Table1[[#This Row],[WEATHER]],"0"))</f>
        <v>1</v>
      </c>
      <c r="N570" s="36">
        <v>0.24</v>
      </c>
      <c r="O570" s="37">
        <f>VLOOKUP(Table1[[#This Row],[INSTANT]],[1]dataset_2!$A:$G,2,FALSE)</f>
        <v>0.21210000000000001</v>
      </c>
      <c r="P570" s="37">
        <f>VLOOKUP(Table1[[#This Row],[INSTANT]],[1]dataset_2!$A:$G,3,0)</f>
        <v>0.93</v>
      </c>
      <c r="Q570" s="37">
        <f>VLOOKUP(Table1[[#This Row],[INSTANT]],[1]dataset_2!$A:$D,4,FALSE)</f>
        <v>0.28360000000000002</v>
      </c>
      <c r="R570" s="37">
        <f>VLOOKUP(Table1[[#This Row],[INSTANT]],[1]dataset_2!$A:$G,5,0)</f>
        <v>2</v>
      </c>
      <c r="S570" s="38">
        <f>VLOOKUP(Table1[[#This Row],[INSTANT]],[1]dataset_2!$A:$G,6,0)</f>
        <v>26</v>
      </c>
      <c r="T570" s="38">
        <f>VLOOKUP(Table1[[#This Row],[INSTANT]],[1]dataset_2!$A:$G,7,0)</f>
        <v>28</v>
      </c>
    </row>
    <row r="571" spans="1:20" ht="13" x14ac:dyDescent="0.15">
      <c r="A571" s="35">
        <v>570</v>
      </c>
      <c r="B571" s="27">
        <v>40568</v>
      </c>
      <c r="C571" s="8" t="str">
        <f t="shared" si="16"/>
        <v>2011</v>
      </c>
      <c r="D571" s="8" t="str">
        <f t="shared" si="17"/>
        <v>25</v>
      </c>
      <c r="E571" s="7">
        <v>1</v>
      </c>
      <c r="F571" s="7">
        <v>0</v>
      </c>
      <c r="G571" s="7">
        <v>1</v>
      </c>
      <c r="H571" s="7">
        <v>22</v>
      </c>
      <c r="I571" s="7" t="b">
        <v>0</v>
      </c>
      <c r="J571" s="22">
        <f>--Table1[[#This Row],[HOLIDAY]]</f>
        <v>0</v>
      </c>
      <c r="K571" s="9">
        <v>2</v>
      </c>
      <c r="L571" s="7">
        <v>1</v>
      </c>
      <c r="M571" s="7">
        <f>LEN(TEXT(Table1[[#This Row],[WEATHER]],"0"))</f>
        <v>1</v>
      </c>
      <c r="N571" s="36">
        <v>0.22</v>
      </c>
      <c r="O571" s="37">
        <f>VLOOKUP(Table1[[#This Row],[INSTANT]],[1]dataset_2!$A:$G,2,FALSE)</f>
        <v>0.19700000000000001</v>
      </c>
      <c r="P571" s="37">
        <f>VLOOKUP(Table1[[#This Row],[INSTANT]],[1]dataset_2!$A:$G,3,0)</f>
        <v>0.93</v>
      </c>
      <c r="Q571" s="37">
        <f>VLOOKUP(Table1[[#This Row],[INSTANT]],[1]dataset_2!$A:$D,4,FALSE)</f>
        <v>0.32840000000000003</v>
      </c>
      <c r="R571" s="37">
        <f>VLOOKUP(Table1[[#This Row],[INSTANT]],[1]dataset_2!$A:$G,5,0)</f>
        <v>6</v>
      </c>
      <c r="S571" s="38">
        <f>VLOOKUP(Table1[[#This Row],[INSTANT]],[1]dataset_2!$A:$G,6,0)</f>
        <v>35</v>
      </c>
      <c r="T571" s="38">
        <f>VLOOKUP(Table1[[#This Row],[INSTANT]],[1]dataset_2!$A:$G,7,0)</f>
        <v>41</v>
      </c>
    </row>
    <row r="572" spans="1:20" ht="13" x14ac:dyDescent="0.15">
      <c r="A572" s="35">
        <v>571</v>
      </c>
      <c r="B572" s="27">
        <v>40568</v>
      </c>
      <c r="C572" s="8" t="str">
        <f t="shared" si="16"/>
        <v>2011</v>
      </c>
      <c r="D572" s="8" t="str">
        <f t="shared" si="17"/>
        <v>25</v>
      </c>
      <c r="E572" s="7">
        <v>1</v>
      </c>
      <c r="F572" s="7">
        <v>0</v>
      </c>
      <c r="G572" s="7">
        <v>1</v>
      </c>
      <c r="H572" s="7">
        <v>23</v>
      </c>
      <c r="I572" s="7" t="b">
        <v>0</v>
      </c>
      <c r="J572" s="22">
        <f>--Table1[[#This Row],[HOLIDAY]]</f>
        <v>0</v>
      </c>
      <c r="K572" s="9">
        <v>2</v>
      </c>
      <c r="L572" s="7">
        <v>2</v>
      </c>
      <c r="M572" s="7">
        <f>LEN(TEXT(Table1[[#This Row],[WEATHER]],"0"))</f>
        <v>1</v>
      </c>
      <c r="N572" s="36">
        <v>0.22</v>
      </c>
      <c r="O572" s="37">
        <f>VLOOKUP(Table1[[#This Row],[INSTANT]],[1]dataset_2!$A:$G,2,FALSE)</f>
        <v>0.19700000000000001</v>
      </c>
      <c r="P572" s="37">
        <f>VLOOKUP(Table1[[#This Row],[INSTANT]],[1]dataset_2!$A:$G,3,0)</f>
        <v>0.93</v>
      </c>
      <c r="Q572" s="37">
        <f>VLOOKUP(Table1[[#This Row],[INSTANT]],[1]dataset_2!$A:$D,4,FALSE)</f>
        <v>0.32840000000000003</v>
      </c>
      <c r="R572" s="37">
        <f>VLOOKUP(Table1[[#This Row],[INSTANT]],[1]dataset_2!$A:$G,5,0)</f>
        <v>7</v>
      </c>
      <c r="S572" s="38">
        <f>VLOOKUP(Table1[[#This Row],[INSTANT]],[1]dataset_2!$A:$G,6,0)</f>
        <v>41</v>
      </c>
      <c r="T572" s="38">
        <f>VLOOKUP(Table1[[#This Row],[INSTANT]],[1]dataset_2!$A:$G,7,0)</f>
        <v>48</v>
      </c>
    </row>
    <row r="573" spans="1:20" ht="13" x14ac:dyDescent="0.15">
      <c r="A573" s="35">
        <v>572</v>
      </c>
      <c r="B573" s="27">
        <v>40569</v>
      </c>
      <c r="C573" s="8" t="str">
        <f t="shared" si="16"/>
        <v>2011</v>
      </c>
      <c r="D573" s="8" t="str">
        <f t="shared" si="17"/>
        <v>26</v>
      </c>
      <c r="E573" s="7">
        <v>1</v>
      </c>
      <c r="F573" s="7">
        <v>0</v>
      </c>
      <c r="G573" s="7">
        <v>1</v>
      </c>
      <c r="H573" s="7">
        <v>0</v>
      </c>
      <c r="I573" s="7" t="b">
        <v>0</v>
      </c>
      <c r="J573" s="22">
        <f>--Table1[[#This Row],[HOLIDAY]]</f>
        <v>0</v>
      </c>
      <c r="K573" s="9">
        <v>3</v>
      </c>
      <c r="L573" s="7">
        <v>2</v>
      </c>
      <c r="M573" s="7">
        <f>LEN(TEXT(Table1[[#This Row],[WEATHER]],"0"))</f>
        <v>1</v>
      </c>
      <c r="N573" s="36">
        <v>0.22</v>
      </c>
      <c r="O573" s="37">
        <f>VLOOKUP(Table1[[#This Row],[INSTANT]],[1]dataset_2!$A:$G,2,FALSE)</f>
        <v>0.19700000000000001</v>
      </c>
      <c r="P573" s="37">
        <f>VLOOKUP(Table1[[#This Row],[INSTANT]],[1]dataset_2!$A:$G,3,0)</f>
        <v>0.93</v>
      </c>
      <c r="Q573" s="37">
        <f>VLOOKUP(Table1[[#This Row],[INSTANT]],[1]dataset_2!$A:$D,4,FALSE)</f>
        <v>0.32840000000000003</v>
      </c>
      <c r="R573" s="37">
        <f>VLOOKUP(Table1[[#This Row],[INSTANT]],[1]dataset_2!$A:$G,5,0)</f>
        <v>4</v>
      </c>
      <c r="S573" s="38">
        <f>VLOOKUP(Table1[[#This Row],[INSTANT]],[1]dataset_2!$A:$G,6,0)</f>
        <v>43</v>
      </c>
      <c r="T573" s="38">
        <f>VLOOKUP(Table1[[#This Row],[INSTANT]],[1]dataset_2!$A:$G,7,0)</f>
        <v>47</v>
      </c>
    </row>
    <row r="574" spans="1:20" ht="13" x14ac:dyDescent="0.15">
      <c r="A574" s="35">
        <v>573</v>
      </c>
      <c r="B574" s="27">
        <v>40569</v>
      </c>
      <c r="C574" s="8" t="str">
        <f t="shared" si="16"/>
        <v>2011</v>
      </c>
      <c r="D574" s="8" t="str">
        <f t="shared" si="17"/>
        <v>26</v>
      </c>
      <c r="E574" s="7">
        <v>1</v>
      </c>
      <c r="F574" s="7">
        <v>0</v>
      </c>
      <c r="G574" s="7">
        <v>1</v>
      </c>
      <c r="H574" s="7">
        <v>1</v>
      </c>
      <c r="I574" s="7" t="b">
        <v>0</v>
      </c>
      <c r="J574" s="22">
        <f>--Table1[[#This Row],[HOLIDAY]]</f>
        <v>0</v>
      </c>
      <c r="K574" s="9">
        <v>3</v>
      </c>
      <c r="L574" s="7">
        <v>2</v>
      </c>
      <c r="M574" s="7">
        <f>LEN(TEXT(Table1[[#This Row],[WEATHER]],"0"))</f>
        <v>1</v>
      </c>
      <c r="N574" s="36">
        <v>0.24</v>
      </c>
      <c r="O574" s="37">
        <f>VLOOKUP(Table1[[#This Row],[INSTANT]],[1]dataset_2!$A:$G,2,FALSE)</f>
        <v>0.19700000000000001</v>
      </c>
      <c r="P574" s="37">
        <f>VLOOKUP(Table1[[#This Row],[INSTANT]],[1]dataset_2!$A:$G,3,0)</f>
        <v>0.93</v>
      </c>
      <c r="Q574" s="37">
        <f>VLOOKUP(Table1[[#This Row],[INSTANT]],[1]dataset_2!$A:$D,4,FALSE)</f>
        <v>0.35820000000000002</v>
      </c>
      <c r="R574" s="37">
        <f>VLOOKUP(Table1[[#This Row],[INSTANT]],[1]dataset_2!$A:$G,5,0)</f>
        <v>0</v>
      </c>
      <c r="S574" s="38">
        <f>VLOOKUP(Table1[[#This Row],[INSTANT]],[1]dataset_2!$A:$G,6,0)</f>
        <v>36</v>
      </c>
      <c r="T574" s="38">
        <f>VLOOKUP(Table1[[#This Row],[INSTANT]],[1]dataset_2!$A:$G,7,0)</f>
        <v>36</v>
      </c>
    </row>
    <row r="575" spans="1:20" ht="13" x14ac:dyDescent="0.15">
      <c r="A575" s="35">
        <v>574</v>
      </c>
      <c r="B575" s="27">
        <v>40569</v>
      </c>
      <c r="C575" s="8" t="str">
        <f t="shared" si="16"/>
        <v>2011</v>
      </c>
      <c r="D575" s="8" t="str">
        <f t="shared" si="17"/>
        <v>26</v>
      </c>
      <c r="E575" s="7">
        <v>1</v>
      </c>
      <c r="F575" s="7">
        <v>0</v>
      </c>
      <c r="G575" s="7">
        <v>1</v>
      </c>
      <c r="H575" s="7">
        <v>2</v>
      </c>
      <c r="I575" s="7" t="b">
        <v>0</v>
      </c>
      <c r="J575" s="22">
        <f>--Table1[[#This Row],[HOLIDAY]]</f>
        <v>0</v>
      </c>
      <c r="K575" s="9">
        <v>3</v>
      </c>
      <c r="L575" s="7">
        <v>3</v>
      </c>
      <c r="M575" s="7">
        <f>LEN(TEXT(Table1[[#This Row],[WEATHER]],"0"))</f>
        <v>1</v>
      </c>
      <c r="N575" s="36">
        <v>0.22</v>
      </c>
      <c r="O575" s="37">
        <f>VLOOKUP(Table1[[#This Row],[INSTANT]],[1]dataset_2!$A:$G,2,FALSE)</f>
        <v>0.18179999999999999</v>
      </c>
      <c r="P575" s="37">
        <f>VLOOKUP(Table1[[#This Row],[INSTANT]],[1]dataset_2!$A:$G,3,0)</f>
        <v>0.93</v>
      </c>
      <c r="Q575" s="37">
        <f>VLOOKUP(Table1[[#This Row],[INSTANT]],[1]dataset_2!$A:$D,4,FALSE)</f>
        <v>0.4627</v>
      </c>
      <c r="R575" s="37">
        <f>VLOOKUP(Table1[[#This Row],[INSTANT]],[1]dataset_2!$A:$G,5,0)</f>
        <v>1</v>
      </c>
      <c r="S575" s="38">
        <f>VLOOKUP(Table1[[#This Row],[INSTANT]],[1]dataset_2!$A:$G,6,0)</f>
        <v>42</v>
      </c>
      <c r="T575" s="38">
        <f>VLOOKUP(Table1[[#This Row],[INSTANT]],[1]dataset_2!$A:$G,7,0)</f>
        <v>43</v>
      </c>
    </row>
    <row r="576" spans="1:20" ht="13" x14ac:dyDescent="0.15">
      <c r="A576" s="35">
        <v>575</v>
      </c>
      <c r="B576" s="27">
        <v>40569</v>
      </c>
      <c r="C576" s="8" t="str">
        <f t="shared" si="16"/>
        <v>2011</v>
      </c>
      <c r="D576" s="8" t="str">
        <f t="shared" si="17"/>
        <v>26</v>
      </c>
      <c r="E576" s="7">
        <v>1</v>
      </c>
      <c r="F576" s="7">
        <v>0</v>
      </c>
      <c r="G576" s="7">
        <v>1</v>
      </c>
      <c r="H576" s="7">
        <v>5</v>
      </c>
      <c r="I576" s="7" t="b">
        <v>0</v>
      </c>
      <c r="J576" s="22">
        <f>--Table1[[#This Row],[HOLIDAY]]</f>
        <v>0</v>
      </c>
      <c r="K576" s="9">
        <v>3</v>
      </c>
      <c r="L576" s="7">
        <v>3</v>
      </c>
      <c r="M576" s="7">
        <f>LEN(TEXT(Table1[[#This Row],[WEATHER]],"0"))</f>
        <v>1</v>
      </c>
      <c r="N576" s="36">
        <v>0.2</v>
      </c>
      <c r="O576" s="37">
        <f>VLOOKUP(Table1[[#This Row],[INSTANT]],[1]dataset_2!$A:$G,2,FALSE)</f>
        <v>0.19700000000000001</v>
      </c>
      <c r="P576" s="37">
        <f>VLOOKUP(Table1[[#This Row],[INSTANT]],[1]dataset_2!$A:$G,3,0)</f>
        <v>0.93</v>
      </c>
      <c r="Q576" s="37">
        <f>VLOOKUP(Table1[[#This Row],[INSTANT]],[1]dataset_2!$A:$D,4,FALSE)</f>
        <v>0.32840000000000003</v>
      </c>
      <c r="R576" s="37">
        <f>VLOOKUP(Table1[[#This Row],[INSTANT]],[1]dataset_2!$A:$G,5,0)</f>
        <v>1</v>
      </c>
      <c r="S576" s="38">
        <f>VLOOKUP(Table1[[#This Row],[INSTANT]],[1]dataset_2!$A:$G,6,0)</f>
        <v>35</v>
      </c>
      <c r="T576" s="38">
        <f>VLOOKUP(Table1[[#This Row],[INSTANT]],[1]dataset_2!$A:$G,7,0)</f>
        <v>36</v>
      </c>
    </row>
    <row r="577" spans="1:20" ht="13" x14ac:dyDescent="0.15">
      <c r="A577" s="35">
        <v>576</v>
      </c>
      <c r="B577" s="27">
        <v>40569</v>
      </c>
      <c r="C577" s="8" t="str">
        <f t="shared" si="16"/>
        <v>2011</v>
      </c>
      <c r="D577" s="8" t="str">
        <f t="shared" si="17"/>
        <v>26</v>
      </c>
      <c r="E577" s="7">
        <v>1</v>
      </c>
      <c r="F577" s="7">
        <v>0</v>
      </c>
      <c r="G577" s="7">
        <v>1</v>
      </c>
      <c r="H577" s="7">
        <v>6</v>
      </c>
      <c r="I577" s="7" t="b">
        <v>0</v>
      </c>
      <c r="J577" s="22">
        <f>--Table1[[#This Row],[HOLIDAY]]</f>
        <v>0</v>
      </c>
      <c r="K577" s="9">
        <v>3</v>
      </c>
      <c r="L577" s="7">
        <v>3</v>
      </c>
      <c r="M577" s="7">
        <f>LEN(TEXT(Table1[[#This Row],[WEATHER]],"0"))</f>
        <v>1</v>
      </c>
      <c r="N577" s="36">
        <v>0.2</v>
      </c>
      <c r="O577" s="37">
        <f>VLOOKUP(Table1[[#This Row],[INSTANT]],[1]dataset_2!$A:$G,2,FALSE)</f>
        <v>0.18179999999999999</v>
      </c>
      <c r="P577" s="37">
        <f>VLOOKUP(Table1[[#This Row],[INSTANT]],[1]dataset_2!$A:$G,3,0)</f>
        <v>0.93</v>
      </c>
      <c r="Q577" s="37">
        <f>VLOOKUP(Table1[[#This Row],[INSTANT]],[1]dataset_2!$A:$D,4,FALSE)</f>
        <v>0.35820000000000002</v>
      </c>
      <c r="R577" s="37">
        <f>VLOOKUP(Table1[[#This Row],[INSTANT]],[1]dataset_2!$A:$G,5,0)</f>
        <v>0</v>
      </c>
      <c r="S577" s="38">
        <f>VLOOKUP(Table1[[#This Row],[INSTANT]],[1]dataset_2!$A:$G,6,0)</f>
        <v>26</v>
      </c>
      <c r="T577" s="38">
        <f>VLOOKUP(Table1[[#This Row],[INSTANT]],[1]dataset_2!$A:$G,7,0)</f>
        <v>26</v>
      </c>
    </row>
    <row r="578" spans="1:20" ht="13" x14ac:dyDescent="0.15">
      <c r="A578" s="35">
        <v>577</v>
      </c>
      <c r="B578" s="27">
        <v>40569</v>
      </c>
      <c r="C578" s="8" t="str">
        <f t="shared" ref="C578:C611" si="18">RIGHT(TEXT(B579,"DD-MM-YYYY"),4)</f>
        <v>2011</v>
      </c>
      <c r="D578" s="8" t="str">
        <f t="shared" ref="D578:D611" si="19">LEFT(TEXT(B578,"DD-MM-YYYY"),2)</f>
        <v>26</v>
      </c>
      <c r="E578" s="7">
        <v>1</v>
      </c>
      <c r="F578" s="7">
        <v>0</v>
      </c>
      <c r="G578" s="7">
        <v>1</v>
      </c>
      <c r="H578" s="7">
        <v>7</v>
      </c>
      <c r="I578" s="7" t="b">
        <v>0</v>
      </c>
      <c r="J578" s="22">
        <f>--Table1[[#This Row],[HOLIDAY]]</f>
        <v>0</v>
      </c>
      <c r="K578" s="9">
        <v>3</v>
      </c>
      <c r="L578" s="7">
        <v>3</v>
      </c>
      <c r="M578" s="7">
        <f>LEN(TEXT(Table1[[#This Row],[WEATHER]],"0"))</f>
        <v>1</v>
      </c>
      <c r="N578" s="36">
        <v>0.22</v>
      </c>
      <c r="O578" s="37">
        <f>VLOOKUP(Table1[[#This Row],[INSTANT]],[1]dataset_2!$A:$G,2,FALSE)</f>
        <v>0.2273</v>
      </c>
      <c r="P578" s="37">
        <f>VLOOKUP(Table1[[#This Row],[INSTANT]],[1]dataset_2!$A:$G,3,0)</f>
        <v>0.55000000000000004</v>
      </c>
      <c r="Q578" s="37">
        <f>VLOOKUP(Table1[[#This Row],[INSTANT]],[1]dataset_2!$A:$D,4,FALSE)</f>
        <v>0.19400000000000001</v>
      </c>
      <c r="R578" s="37">
        <f>VLOOKUP(Table1[[#This Row],[INSTANT]],[1]dataset_2!$A:$G,5,0)</f>
        <v>1</v>
      </c>
      <c r="S578" s="38">
        <f>VLOOKUP(Table1[[#This Row],[INSTANT]],[1]dataset_2!$A:$G,6,0)</f>
        <v>23</v>
      </c>
      <c r="T578" s="38">
        <f>VLOOKUP(Table1[[#This Row],[INSTANT]],[1]dataset_2!$A:$G,7,0)</f>
        <v>24</v>
      </c>
    </row>
    <row r="579" spans="1:20" ht="13" x14ac:dyDescent="0.15">
      <c r="A579" s="35">
        <v>578</v>
      </c>
      <c r="B579" s="27">
        <v>40569</v>
      </c>
      <c r="C579" s="8" t="str">
        <f t="shared" si="18"/>
        <v>2011</v>
      </c>
      <c r="D579" s="8" t="str">
        <f t="shared" si="19"/>
        <v>26</v>
      </c>
      <c r="E579" s="7">
        <v>1</v>
      </c>
      <c r="F579" s="7">
        <v>0</v>
      </c>
      <c r="G579" s="7">
        <v>1</v>
      </c>
      <c r="H579" s="7">
        <v>8</v>
      </c>
      <c r="I579" s="7" t="b">
        <v>0</v>
      </c>
      <c r="J579" s="22">
        <f>--Table1[[#This Row],[HOLIDAY]]</f>
        <v>0</v>
      </c>
      <c r="K579" s="9">
        <v>3</v>
      </c>
      <c r="L579" s="7">
        <v>3</v>
      </c>
      <c r="M579" s="7">
        <f>LEN(TEXT(Table1[[#This Row],[WEATHER]],"0"))</f>
        <v>1</v>
      </c>
      <c r="N579" s="36">
        <v>0.22</v>
      </c>
      <c r="O579" s="37">
        <f>VLOOKUP(Table1[[#This Row],[INSTANT]],[1]dataset_2!$A:$G,2,FALSE)</f>
        <v>0.2424</v>
      </c>
      <c r="P579" s="37">
        <f>VLOOKUP(Table1[[#This Row],[INSTANT]],[1]dataset_2!$A:$G,3,0)</f>
        <v>0.55000000000000004</v>
      </c>
      <c r="Q579" s="37">
        <f>VLOOKUP(Table1[[#This Row],[INSTANT]],[1]dataset_2!$A:$D,4,FALSE)</f>
        <v>0.1045</v>
      </c>
      <c r="R579" s="37">
        <f>VLOOKUP(Table1[[#This Row],[INSTANT]],[1]dataset_2!$A:$G,5,0)</f>
        <v>2</v>
      </c>
      <c r="S579" s="38">
        <f>VLOOKUP(Table1[[#This Row],[INSTANT]],[1]dataset_2!$A:$G,6,0)</f>
        <v>82</v>
      </c>
      <c r="T579" s="38">
        <f>VLOOKUP(Table1[[#This Row],[INSTANT]],[1]dataset_2!$A:$G,7,0)</f>
        <v>84</v>
      </c>
    </row>
    <row r="580" spans="1:20" ht="13" x14ac:dyDescent="0.15">
      <c r="A580" s="35">
        <v>579</v>
      </c>
      <c r="B580" s="27">
        <v>40569</v>
      </c>
      <c r="C580" s="8" t="str">
        <f t="shared" si="18"/>
        <v>2011</v>
      </c>
      <c r="D580" s="8" t="str">
        <f t="shared" si="19"/>
        <v>26</v>
      </c>
      <c r="E580" s="7">
        <v>1</v>
      </c>
      <c r="F580" s="7">
        <v>0</v>
      </c>
      <c r="G580" s="7">
        <v>1</v>
      </c>
      <c r="H580" s="7">
        <v>9</v>
      </c>
      <c r="I580" s="7" t="b">
        <v>0</v>
      </c>
      <c r="J580" s="22">
        <f>--Table1[[#This Row],[HOLIDAY]]</f>
        <v>0</v>
      </c>
      <c r="K580" s="9">
        <v>3</v>
      </c>
      <c r="L580" s="7">
        <v>3</v>
      </c>
      <c r="M580" s="7">
        <f>LEN(TEXT(Table1[[#This Row],[WEATHER]],"0"))</f>
        <v>1</v>
      </c>
      <c r="N580" s="36">
        <v>0.22</v>
      </c>
      <c r="O580" s="37">
        <f>VLOOKUP(Table1[[#This Row],[INSTANT]],[1]dataset_2!$A:$G,2,FALSE)</f>
        <v>0.2273</v>
      </c>
      <c r="P580" s="37">
        <f>VLOOKUP(Table1[[#This Row],[INSTANT]],[1]dataset_2!$A:$G,3,0)</f>
        <v>0.69</v>
      </c>
      <c r="Q580" s="37">
        <f>VLOOKUP(Table1[[#This Row],[INSTANT]],[1]dataset_2!$A:$D,4,FALSE)</f>
        <v>8.9599999999999999E-2</v>
      </c>
      <c r="R580" s="37">
        <f>VLOOKUP(Table1[[#This Row],[INSTANT]],[1]dataset_2!$A:$G,5,0)</f>
        <v>3</v>
      </c>
      <c r="S580" s="38">
        <f>VLOOKUP(Table1[[#This Row],[INSTANT]],[1]dataset_2!$A:$G,6,0)</f>
        <v>101</v>
      </c>
      <c r="T580" s="38">
        <f>VLOOKUP(Table1[[#This Row],[INSTANT]],[1]dataset_2!$A:$G,7,0)</f>
        <v>104</v>
      </c>
    </row>
    <row r="581" spans="1:20" ht="13" x14ac:dyDescent="0.15">
      <c r="A581" s="35">
        <v>580</v>
      </c>
      <c r="B581" s="27">
        <v>40569</v>
      </c>
      <c r="C581" s="8" t="str">
        <f t="shared" si="18"/>
        <v>2011</v>
      </c>
      <c r="D581" s="8" t="str">
        <f t="shared" si="19"/>
        <v>26</v>
      </c>
      <c r="E581" s="7">
        <v>1</v>
      </c>
      <c r="F581" s="7">
        <v>0</v>
      </c>
      <c r="G581" s="7">
        <v>1</v>
      </c>
      <c r="H581" s="7">
        <v>10</v>
      </c>
      <c r="I581" s="7" t="b">
        <v>0</v>
      </c>
      <c r="J581" s="22">
        <f>--Table1[[#This Row],[HOLIDAY]]</f>
        <v>0</v>
      </c>
      <c r="K581" s="9">
        <v>3</v>
      </c>
      <c r="L581" s="7">
        <v>3</v>
      </c>
      <c r="M581" s="7">
        <f>LEN(TEXT(Table1[[#This Row],[WEATHER]],"0"))</f>
        <v>1</v>
      </c>
      <c r="N581" s="36">
        <v>0.22</v>
      </c>
      <c r="O581" s="37">
        <f>VLOOKUP(Table1[[#This Row],[INSTANT]],[1]dataset_2!$A:$G,2,FALSE)</f>
        <v>0.2273</v>
      </c>
      <c r="P581" s="37">
        <f>VLOOKUP(Table1[[#This Row],[INSTANT]],[1]dataset_2!$A:$G,3,0)</f>
        <v>0.69</v>
      </c>
      <c r="Q581" s="37">
        <f>VLOOKUP(Table1[[#This Row],[INSTANT]],[1]dataset_2!$A:$D,4,FALSE)</f>
        <v>8.9599999999999999E-2</v>
      </c>
      <c r="R581" s="37">
        <f>VLOOKUP(Table1[[#This Row],[INSTANT]],[1]dataset_2!$A:$G,5,0)</f>
        <v>3</v>
      </c>
      <c r="S581" s="38">
        <f>VLOOKUP(Table1[[#This Row],[INSTANT]],[1]dataset_2!$A:$G,6,0)</f>
        <v>76</v>
      </c>
      <c r="T581" s="38">
        <f>VLOOKUP(Table1[[#This Row],[INSTANT]],[1]dataset_2!$A:$G,7,0)</f>
        <v>79</v>
      </c>
    </row>
    <row r="582" spans="1:20" ht="13" x14ac:dyDescent="0.15">
      <c r="A582" s="35">
        <v>581</v>
      </c>
      <c r="B582" s="27">
        <v>40569</v>
      </c>
      <c r="C582" s="8" t="str">
        <f t="shared" si="18"/>
        <v>2011</v>
      </c>
      <c r="D582" s="8" t="str">
        <f t="shared" si="19"/>
        <v>26</v>
      </c>
      <c r="E582" s="7">
        <v>1</v>
      </c>
      <c r="F582" s="7">
        <v>0</v>
      </c>
      <c r="G582" s="7">
        <v>1</v>
      </c>
      <c r="H582" s="7">
        <v>11</v>
      </c>
      <c r="I582" s="7" t="b">
        <v>0</v>
      </c>
      <c r="J582" s="22">
        <f>--Table1[[#This Row],[HOLIDAY]]</f>
        <v>0</v>
      </c>
      <c r="K582" s="9">
        <v>3</v>
      </c>
      <c r="L582" s="7">
        <v>3</v>
      </c>
      <c r="M582" s="7">
        <f>LEN(TEXT(Table1[[#This Row],[WEATHER]],"0"))</f>
        <v>1</v>
      </c>
      <c r="N582" s="36">
        <v>0.22</v>
      </c>
      <c r="O582" s="37">
        <f>VLOOKUP(Table1[[#This Row],[INSTANT]],[1]dataset_2!$A:$G,2,FALSE)</f>
        <v>0.21210000000000001</v>
      </c>
      <c r="P582" s="37">
        <f>VLOOKUP(Table1[[#This Row],[INSTANT]],[1]dataset_2!$A:$G,3,0)</f>
        <v>0.74</v>
      </c>
      <c r="Q582" s="37">
        <f>VLOOKUP(Table1[[#This Row],[INSTANT]],[1]dataset_2!$A:$D,4,FALSE)</f>
        <v>8.9599999999999999E-2</v>
      </c>
      <c r="R582" s="37">
        <f>VLOOKUP(Table1[[#This Row],[INSTANT]],[1]dataset_2!$A:$G,5,0)</f>
        <v>4</v>
      </c>
      <c r="S582" s="38">
        <f>VLOOKUP(Table1[[#This Row],[INSTANT]],[1]dataset_2!$A:$G,6,0)</f>
        <v>55</v>
      </c>
      <c r="T582" s="38">
        <f>VLOOKUP(Table1[[#This Row],[INSTANT]],[1]dataset_2!$A:$G,7,0)</f>
        <v>59</v>
      </c>
    </row>
    <row r="583" spans="1:20" ht="13" x14ac:dyDescent="0.15">
      <c r="A583" s="35">
        <v>582</v>
      </c>
      <c r="B583" s="27">
        <v>40569</v>
      </c>
      <c r="C583" s="8" t="str">
        <f t="shared" si="18"/>
        <v>2011</v>
      </c>
      <c r="D583" s="8" t="str">
        <f t="shared" si="19"/>
        <v>26</v>
      </c>
      <c r="E583" s="7">
        <v>1</v>
      </c>
      <c r="F583" s="7">
        <v>0</v>
      </c>
      <c r="G583" s="7">
        <v>1</v>
      </c>
      <c r="H583" s="7">
        <v>12</v>
      </c>
      <c r="I583" s="7" t="b">
        <v>0</v>
      </c>
      <c r="J583" s="22">
        <f>--Table1[[#This Row],[HOLIDAY]]</f>
        <v>0</v>
      </c>
      <c r="K583" s="9">
        <v>3</v>
      </c>
      <c r="L583" s="7">
        <v>3</v>
      </c>
      <c r="M583" s="7">
        <f>LEN(TEXT(Table1[[#This Row],[WEATHER]],"0"))</f>
        <v>1</v>
      </c>
      <c r="N583" s="36">
        <v>0.22</v>
      </c>
      <c r="O583" s="37">
        <f>VLOOKUP(Table1[[#This Row],[INSTANT]],[1]dataset_2!$A:$G,2,FALSE)</f>
        <v>0.21210000000000001</v>
      </c>
      <c r="P583" s="37">
        <f>VLOOKUP(Table1[[#This Row],[INSTANT]],[1]dataset_2!$A:$G,3,0)</f>
        <v>0.74</v>
      </c>
      <c r="Q583" s="37">
        <f>VLOOKUP(Table1[[#This Row],[INSTANT]],[1]dataset_2!$A:$D,4,FALSE)</f>
        <v>8.9599999999999999E-2</v>
      </c>
      <c r="R583" s="37">
        <f>VLOOKUP(Table1[[#This Row],[INSTANT]],[1]dataset_2!$A:$G,5,0)</f>
        <v>2</v>
      </c>
      <c r="S583" s="38">
        <f>VLOOKUP(Table1[[#This Row],[INSTANT]],[1]dataset_2!$A:$G,6,0)</f>
        <v>36</v>
      </c>
      <c r="T583" s="38">
        <f>VLOOKUP(Table1[[#This Row],[INSTANT]],[1]dataset_2!$A:$G,7,0)</f>
        <v>38</v>
      </c>
    </row>
    <row r="584" spans="1:20" ht="13" x14ac:dyDescent="0.15">
      <c r="A584" s="35">
        <v>583</v>
      </c>
      <c r="B584" s="27">
        <v>40569</v>
      </c>
      <c r="C584" s="8" t="str">
        <f t="shared" si="18"/>
        <v>2011</v>
      </c>
      <c r="D584" s="8" t="str">
        <f t="shared" si="19"/>
        <v>26</v>
      </c>
      <c r="E584" s="7">
        <v>1</v>
      </c>
      <c r="F584" s="7">
        <v>0</v>
      </c>
      <c r="G584" s="7">
        <v>1</v>
      </c>
      <c r="H584" s="7">
        <v>13</v>
      </c>
      <c r="I584" s="7" t="b">
        <v>0</v>
      </c>
      <c r="J584" s="22">
        <f>--Table1[[#This Row],[HOLIDAY]]</f>
        <v>0</v>
      </c>
      <c r="K584" s="9">
        <v>3</v>
      </c>
      <c r="L584" s="7">
        <v>3</v>
      </c>
      <c r="M584" s="7">
        <f>LEN(TEXT(Table1[[#This Row],[WEATHER]],"0"))</f>
        <v>1</v>
      </c>
      <c r="N584" s="36">
        <v>0.22</v>
      </c>
      <c r="O584" s="37">
        <f>VLOOKUP(Table1[[#This Row],[INSTANT]],[1]dataset_2!$A:$G,2,FALSE)</f>
        <v>0.21210000000000001</v>
      </c>
      <c r="P584" s="37">
        <f>VLOOKUP(Table1[[#This Row],[INSTANT]],[1]dataset_2!$A:$G,3,0)</f>
        <v>0.74</v>
      </c>
      <c r="Q584" s="37">
        <f>VLOOKUP(Table1[[#This Row],[INSTANT]],[1]dataset_2!$A:$D,4,FALSE)</f>
        <v>8.9599999999999999E-2</v>
      </c>
      <c r="R584" s="37">
        <f>VLOOKUP(Table1[[#This Row],[INSTANT]],[1]dataset_2!$A:$G,5,0)</f>
        <v>0</v>
      </c>
      <c r="S584" s="38">
        <f>VLOOKUP(Table1[[#This Row],[INSTANT]],[1]dataset_2!$A:$G,6,0)</f>
        <v>27</v>
      </c>
      <c r="T584" s="38">
        <f>VLOOKUP(Table1[[#This Row],[INSTANT]],[1]dataset_2!$A:$G,7,0)</f>
        <v>27</v>
      </c>
    </row>
    <row r="585" spans="1:20" ht="13" x14ac:dyDescent="0.15">
      <c r="A585" s="35">
        <v>584</v>
      </c>
      <c r="B585" s="27">
        <v>40569</v>
      </c>
      <c r="C585" s="8" t="str">
        <f t="shared" si="18"/>
        <v>2011</v>
      </c>
      <c r="D585" s="8" t="str">
        <f t="shared" si="19"/>
        <v>26</v>
      </c>
      <c r="E585" s="7">
        <v>1</v>
      </c>
      <c r="F585" s="7">
        <v>0</v>
      </c>
      <c r="G585" s="7">
        <v>1</v>
      </c>
      <c r="H585" s="7">
        <v>14</v>
      </c>
      <c r="I585" s="7" t="b">
        <v>0</v>
      </c>
      <c r="J585" s="22">
        <f>--Table1[[#This Row],[HOLIDAY]]</f>
        <v>0</v>
      </c>
      <c r="K585" s="9">
        <v>3</v>
      </c>
      <c r="L585" s="7">
        <v>3</v>
      </c>
      <c r="M585" s="7">
        <f>LEN(TEXT(Table1[[#This Row],[WEATHER]],"0"))</f>
        <v>1</v>
      </c>
      <c r="N585" s="36">
        <v>0.22</v>
      </c>
      <c r="O585" s="37">
        <f>VLOOKUP(Table1[[#This Row],[INSTANT]],[1]dataset_2!$A:$G,2,FALSE)</f>
        <v>0.19700000000000001</v>
      </c>
      <c r="P585" s="37">
        <f>VLOOKUP(Table1[[#This Row],[INSTANT]],[1]dataset_2!$A:$G,3,0)</f>
        <v>0.8</v>
      </c>
      <c r="Q585" s="37">
        <f>VLOOKUP(Table1[[#This Row],[INSTANT]],[1]dataset_2!$A:$D,4,FALSE)</f>
        <v>0.16420000000000001</v>
      </c>
      <c r="R585" s="37">
        <f>VLOOKUP(Table1[[#This Row],[INSTANT]],[1]dataset_2!$A:$G,5,0)</f>
        <v>0</v>
      </c>
      <c r="S585" s="38">
        <f>VLOOKUP(Table1[[#This Row],[INSTANT]],[1]dataset_2!$A:$G,6,0)</f>
        <v>16</v>
      </c>
      <c r="T585" s="38">
        <f>VLOOKUP(Table1[[#This Row],[INSTANT]],[1]dataset_2!$A:$G,7,0)</f>
        <v>16</v>
      </c>
    </row>
    <row r="586" spans="1:20" ht="13" x14ac:dyDescent="0.15">
      <c r="A586" s="35">
        <v>585</v>
      </c>
      <c r="B586" s="27">
        <v>40569</v>
      </c>
      <c r="C586" s="8" t="str">
        <f t="shared" si="18"/>
        <v>2011</v>
      </c>
      <c r="D586" s="8" t="str">
        <f t="shared" si="19"/>
        <v>26</v>
      </c>
      <c r="E586" s="7">
        <v>1</v>
      </c>
      <c r="F586" s="7">
        <v>0</v>
      </c>
      <c r="G586" s="7">
        <v>1</v>
      </c>
      <c r="H586" s="7">
        <v>15</v>
      </c>
      <c r="I586" s="7" t="b">
        <v>0</v>
      </c>
      <c r="J586" s="22">
        <f>--Table1[[#This Row],[HOLIDAY]]</f>
        <v>0</v>
      </c>
      <c r="K586" s="9">
        <v>3</v>
      </c>
      <c r="L586" s="7">
        <v>3</v>
      </c>
      <c r="M586" s="7">
        <f>LEN(TEXT(Table1[[#This Row],[WEATHER]],"0"))</f>
        <v>1</v>
      </c>
      <c r="N586" s="36">
        <v>0.22</v>
      </c>
      <c r="O586" s="37">
        <f>VLOOKUP(Table1[[#This Row],[INSTANT]],[1]dataset_2!$A:$G,2,FALSE)</f>
        <v>0.21210000000000001</v>
      </c>
      <c r="P586" s="37">
        <f>VLOOKUP(Table1[[#This Row],[INSTANT]],[1]dataset_2!$A:$G,3,0)</f>
        <v>0.75</v>
      </c>
      <c r="Q586" s="37">
        <f>VLOOKUP(Table1[[#This Row],[INSTANT]],[1]dataset_2!$A:$D,4,FALSE)</f>
        <v>0.1343</v>
      </c>
      <c r="R586" s="37">
        <f>VLOOKUP(Table1[[#This Row],[INSTANT]],[1]dataset_2!$A:$G,5,0)</f>
        <v>0</v>
      </c>
      <c r="S586" s="38">
        <f>VLOOKUP(Table1[[#This Row],[INSTANT]],[1]dataset_2!$A:$G,6,0)</f>
        <v>9</v>
      </c>
      <c r="T586" s="38">
        <f>VLOOKUP(Table1[[#This Row],[INSTANT]],[1]dataset_2!$A:$G,7,0)</f>
        <v>9</v>
      </c>
    </row>
    <row r="587" spans="1:20" ht="13" x14ac:dyDescent="0.15">
      <c r="A587" s="35">
        <v>586</v>
      </c>
      <c r="B587" s="27">
        <v>40569</v>
      </c>
      <c r="C587" s="8" t="str">
        <f t="shared" si="18"/>
        <v>2011</v>
      </c>
      <c r="D587" s="8" t="str">
        <f t="shared" si="19"/>
        <v>26</v>
      </c>
      <c r="E587" s="7">
        <v>1</v>
      </c>
      <c r="F587" s="7">
        <v>0</v>
      </c>
      <c r="G587" s="7">
        <v>1</v>
      </c>
      <c r="H587" s="7">
        <v>16</v>
      </c>
      <c r="I587" s="7" t="b">
        <v>0</v>
      </c>
      <c r="J587" s="22">
        <f>--Table1[[#This Row],[HOLIDAY]]</f>
        <v>0</v>
      </c>
      <c r="K587" s="9">
        <v>3</v>
      </c>
      <c r="L587" s="7">
        <v>4</v>
      </c>
      <c r="M587" s="7">
        <f>LEN(TEXT(Table1[[#This Row],[WEATHER]],"0"))</f>
        <v>1</v>
      </c>
      <c r="N587" s="36">
        <v>0.22</v>
      </c>
      <c r="O587" s="37">
        <f>VLOOKUP(Table1[[#This Row],[INSTANT]],[1]dataset_2!$A:$G,2,FALSE)</f>
        <v>0.21210000000000001</v>
      </c>
      <c r="P587" s="37">
        <f>VLOOKUP(Table1[[#This Row],[INSTANT]],[1]dataset_2!$A:$G,3,0)</f>
        <v>0.75</v>
      </c>
      <c r="Q587" s="37">
        <f>VLOOKUP(Table1[[#This Row],[INSTANT]],[1]dataset_2!$A:$D,4,FALSE)</f>
        <v>0.1343</v>
      </c>
      <c r="R587" s="37">
        <f>VLOOKUP(Table1[[#This Row],[INSTANT]],[1]dataset_2!$A:$G,5,0)</f>
        <v>1</v>
      </c>
      <c r="S587" s="38">
        <f>VLOOKUP(Table1[[#This Row],[INSTANT]],[1]dataset_2!$A:$G,6,0)</f>
        <v>2</v>
      </c>
      <c r="T587" s="38">
        <f>VLOOKUP(Table1[[#This Row],[INSTANT]],[1]dataset_2!$A:$G,7,0)</f>
        <v>3</v>
      </c>
    </row>
    <row r="588" spans="1:20" ht="13" x14ac:dyDescent="0.15">
      <c r="A588" s="35">
        <v>587</v>
      </c>
      <c r="B588" s="27">
        <v>40569</v>
      </c>
      <c r="C588" s="8" t="str">
        <f t="shared" si="18"/>
        <v>2011</v>
      </c>
      <c r="D588" s="8" t="str">
        <f t="shared" si="19"/>
        <v>26</v>
      </c>
      <c r="E588" s="7">
        <v>1</v>
      </c>
      <c r="F588" s="7">
        <v>0</v>
      </c>
      <c r="G588" s="7">
        <v>1</v>
      </c>
      <c r="H588" s="7">
        <v>17</v>
      </c>
      <c r="I588" s="7" t="b">
        <v>0</v>
      </c>
      <c r="J588" s="22">
        <f>--Table1[[#This Row],[HOLIDAY]]</f>
        <v>0</v>
      </c>
      <c r="K588" s="9">
        <v>3</v>
      </c>
      <c r="L588" s="7">
        <v>3</v>
      </c>
      <c r="M588" s="7">
        <f>LEN(TEXT(Table1[[#This Row],[WEATHER]],"0"))</f>
        <v>1</v>
      </c>
      <c r="N588" s="36">
        <v>0.2</v>
      </c>
      <c r="O588" s="37">
        <f>VLOOKUP(Table1[[#This Row],[INSTANT]],[1]dataset_2!$A:$G,2,FALSE)</f>
        <v>0.21210000000000001</v>
      </c>
      <c r="P588" s="37">
        <f>VLOOKUP(Table1[[#This Row],[INSTANT]],[1]dataset_2!$A:$G,3,0)</f>
        <v>0.75</v>
      </c>
      <c r="Q588" s="37">
        <f>VLOOKUP(Table1[[#This Row],[INSTANT]],[1]dataset_2!$A:$D,4,FALSE)</f>
        <v>0.16420000000000001</v>
      </c>
      <c r="R588" s="37">
        <f>VLOOKUP(Table1[[#This Row],[INSTANT]],[1]dataset_2!$A:$G,5,0)</f>
        <v>0</v>
      </c>
      <c r="S588" s="38">
        <f>VLOOKUP(Table1[[#This Row],[INSTANT]],[1]dataset_2!$A:$G,6,0)</f>
        <v>2</v>
      </c>
      <c r="T588" s="38">
        <f>VLOOKUP(Table1[[#This Row],[INSTANT]],[1]dataset_2!$A:$G,7,0)</f>
        <v>2</v>
      </c>
    </row>
    <row r="589" spans="1:20" ht="13" x14ac:dyDescent="0.15">
      <c r="A589" s="35">
        <v>588</v>
      </c>
      <c r="B589" s="27">
        <v>40570</v>
      </c>
      <c r="C589" s="8" t="str">
        <f t="shared" si="18"/>
        <v>2011</v>
      </c>
      <c r="D589" s="8" t="str">
        <f t="shared" si="19"/>
        <v>27</v>
      </c>
      <c r="E589" s="7">
        <v>1</v>
      </c>
      <c r="F589" s="7">
        <v>0</v>
      </c>
      <c r="G589" s="7">
        <v>1</v>
      </c>
      <c r="H589" s="7">
        <v>16</v>
      </c>
      <c r="I589" s="7" t="b">
        <v>0</v>
      </c>
      <c r="J589" s="22">
        <f>--Table1[[#This Row],[HOLIDAY]]</f>
        <v>0</v>
      </c>
      <c r="K589" s="9">
        <v>4</v>
      </c>
      <c r="L589" s="7">
        <v>1</v>
      </c>
      <c r="M589" s="7">
        <f>LEN(TEXT(Table1[[#This Row],[WEATHER]],"0"))</f>
        <v>1</v>
      </c>
      <c r="N589" s="36">
        <v>0.22</v>
      </c>
      <c r="O589" s="37">
        <f>VLOOKUP(Table1[[#This Row],[INSTANT]],[1]dataset_2!$A:$G,2,FALSE)</f>
        <v>0.2273</v>
      </c>
      <c r="P589" s="37">
        <f>VLOOKUP(Table1[[#This Row],[INSTANT]],[1]dataset_2!$A:$G,3,0)</f>
        <v>0.75</v>
      </c>
      <c r="Q589" s="37">
        <f>VLOOKUP(Table1[[#This Row],[INSTANT]],[1]dataset_2!$A:$D,4,FALSE)</f>
        <v>0.1045</v>
      </c>
      <c r="R589" s="37">
        <f>VLOOKUP(Table1[[#This Row],[INSTANT]],[1]dataset_2!$A:$G,5,0)</f>
        <v>1</v>
      </c>
      <c r="S589" s="38">
        <f>VLOOKUP(Table1[[#This Row],[INSTANT]],[1]dataset_2!$A:$G,6,0)</f>
        <v>0</v>
      </c>
      <c r="T589" s="38">
        <f>VLOOKUP(Table1[[#This Row],[INSTANT]],[1]dataset_2!$A:$G,7,0)</f>
        <v>1</v>
      </c>
    </row>
    <row r="590" spans="1:20" ht="13" x14ac:dyDescent="0.15">
      <c r="A590" s="35">
        <v>589</v>
      </c>
      <c r="B590" s="27">
        <v>40570</v>
      </c>
      <c r="C590" s="8" t="str">
        <f t="shared" si="18"/>
        <v>2011</v>
      </c>
      <c r="D590" s="8" t="str">
        <f t="shared" si="19"/>
        <v>27</v>
      </c>
      <c r="E590" s="7">
        <v>1</v>
      </c>
      <c r="F590" s="7">
        <v>0</v>
      </c>
      <c r="G590" s="7">
        <v>1</v>
      </c>
      <c r="H590" s="7">
        <v>17</v>
      </c>
      <c r="I590" s="7" t="b">
        <v>0</v>
      </c>
      <c r="J590" s="22">
        <f>--Table1[[#This Row],[HOLIDAY]]</f>
        <v>0</v>
      </c>
      <c r="K590" s="9">
        <v>4</v>
      </c>
      <c r="L590" s="7">
        <v>1</v>
      </c>
      <c r="M590" s="7">
        <f>LEN(TEXT(Table1[[#This Row],[WEATHER]],"0"))</f>
        <v>1</v>
      </c>
      <c r="N590" s="36">
        <v>0.22</v>
      </c>
      <c r="O590" s="37">
        <f>VLOOKUP(Table1[[#This Row],[INSTANT]],[1]dataset_2!$A:$G,2,FALSE)</f>
        <v>0.21210000000000001</v>
      </c>
      <c r="P590" s="37">
        <f>VLOOKUP(Table1[[#This Row],[INSTANT]],[1]dataset_2!$A:$G,3,0)</f>
        <v>0.8</v>
      </c>
      <c r="Q590" s="37">
        <f>VLOOKUP(Table1[[#This Row],[INSTANT]],[1]dataset_2!$A:$D,4,FALSE)</f>
        <v>0.1045</v>
      </c>
      <c r="R590" s="37">
        <f>VLOOKUP(Table1[[#This Row],[INSTANT]],[1]dataset_2!$A:$G,5,0)</f>
        <v>0</v>
      </c>
      <c r="S590" s="38">
        <f>VLOOKUP(Table1[[#This Row],[INSTANT]],[1]dataset_2!$A:$G,6,0)</f>
        <v>4</v>
      </c>
      <c r="T590" s="38">
        <f>VLOOKUP(Table1[[#This Row],[INSTANT]],[1]dataset_2!$A:$G,7,0)</f>
        <v>4</v>
      </c>
    </row>
    <row r="591" spans="1:20" ht="13" x14ac:dyDescent="0.15">
      <c r="A591" s="35">
        <v>590</v>
      </c>
      <c r="B591" s="27">
        <v>40570</v>
      </c>
      <c r="C591" s="8" t="str">
        <f t="shared" si="18"/>
        <v>2011</v>
      </c>
      <c r="D591" s="8" t="str">
        <f t="shared" si="19"/>
        <v>27</v>
      </c>
      <c r="E591" s="7">
        <v>1</v>
      </c>
      <c r="F591" s="7">
        <v>0</v>
      </c>
      <c r="G591" s="7">
        <v>1</v>
      </c>
      <c r="H591" s="7">
        <v>18</v>
      </c>
      <c r="I591" s="7" t="b">
        <v>0</v>
      </c>
      <c r="J591" s="22">
        <f>--Table1[[#This Row],[HOLIDAY]]</f>
        <v>0</v>
      </c>
      <c r="K591" s="9">
        <v>4</v>
      </c>
      <c r="L591" s="7">
        <v>1</v>
      </c>
      <c r="M591" s="7">
        <f>LEN(TEXT(Table1[[#This Row],[WEATHER]],"0"))</f>
        <v>1</v>
      </c>
      <c r="N591" s="36">
        <v>0.2</v>
      </c>
      <c r="O591" s="37">
        <f>VLOOKUP(Table1[[#This Row],[INSTANT]],[1]dataset_2!$A:$G,2,FALSE)</f>
        <v>0.19700000000000001</v>
      </c>
      <c r="P591" s="37">
        <f>VLOOKUP(Table1[[#This Row],[INSTANT]],[1]dataset_2!$A:$G,3,0)</f>
        <v>0.8</v>
      </c>
      <c r="Q591" s="37">
        <f>VLOOKUP(Table1[[#This Row],[INSTANT]],[1]dataset_2!$A:$D,4,FALSE)</f>
        <v>0.1343</v>
      </c>
      <c r="R591" s="37">
        <f>VLOOKUP(Table1[[#This Row],[INSTANT]],[1]dataset_2!$A:$G,5,0)</f>
        <v>0</v>
      </c>
      <c r="S591" s="38">
        <f>VLOOKUP(Table1[[#This Row],[INSTANT]],[1]dataset_2!$A:$G,6,0)</f>
        <v>16</v>
      </c>
      <c r="T591" s="38">
        <f>VLOOKUP(Table1[[#This Row],[INSTANT]],[1]dataset_2!$A:$G,7,0)</f>
        <v>16</v>
      </c>
    </row>
    <row r="592" spans="1:20" ht="13" x14ac:dyDescent="0.15">
      <c r="A592" s="35">
        <v>591</v>
      </c>
      <c r="B592" s="27">
        <v>40570</v>
      </c>
      <c r="C592" s="8" t="str">
        <f t="shared" si="18"/>
        <v>2011</v>
      </c>
      <c r="D592" s="8" t="str">
        <f t="shared" si="19"/>
        <v>27</v>
      </c>
      <c r="E592" s="7">
        <v>1</v>
      </c>
      <c r="F592" s="7">
        <v>0</v>
      </c>
      <c r="G592" s="7">
        <v>1</v>
      </c>
      <c r="H592" s="7">
        <v>19</v>
      </c>
      <c r="I592" s="7" t="b">
        <v>0</v>
      </c>
      <c r="J592" s="22">
        <f>--Table1[[#This Row],[HOLIDAY]]</f>
        <v>0</v>
      </c>
      <c r="K592" s="9">
        <v>4</v>
      </c>
      <c r="L592" s="7">
        <v>1</v>
      </c>
      <c r="M592" s="7">
        <f>LEN(TEXT(Table1[[#This Row],[WEATHER]],"0"))</f>
        <v>1</v>
      </c>
      <c r="N592" s="36">
        <v>0.2</v>
      </c>
      <c r="O592" s="37">
        <f>VLOOKUP(Table1[[#This Row],[INSTANT]],[1]dataset_2!$A:$G,2,FALSE)</f>
        <v>0.19700000000000001</v>
      </c>
      <c r="P592" s="37">
        <f>VLOOKUP(Table1[[#This Row],[INSTANT]],[1]dataset_2!$A:$G,3,0)</f>
        <v>0.86</v>
      </c>
      <c r="Q592" s="37">
        <f>VLOOKUP(Table1[[#This Row],[INSTANT]],[1]dataset_2!$A:$D,4,FALSE)</f>
        <v>8.9599999999999999E-2</v>
      </c>
      <c r="R592" s="37">
        <f>VLOOKUP(Table1[[#This Row],[INSTANT]],[1]dataset_2!$A:$G,5,0)</f>
        <v>2</v>
      </c>
      <c r="S592" s="38">
        <f>VLOOKUP(Table1[[#This Row],[INSTANT]],[1]dataset_2!$A:$G,6,0)</f>
        <v>58</v>
      </c>
      <c r="T592" s="38">
        <f>VLOOKUP(Table1[[#This Row],[INSTANT]],[1]dataset_2!$A:$G,7,0)</f>
        <v>60</v>
      </c>
    </row>
    <row r="593" spans="1:20" ht="13" x14ac:dyDescent="0.15">
      <c r="A593" s="35">
        <v>592</v>
      </c>
      <c r="B593" s="27">
        <v>40570</v>
      </c>
      <c r="C593" s="8" t="str">
        <f t="shared" si="18"/>
        <v>2011</v>
      </c>
      <c r="D593" s="8" t="str">
        <f t="shared" si="19"/>
        <v>27</v>
      </c>
      <c r="E593" s="7">
        <v>1</v>
      </c>
      <c r="F593" s="7">
        <v>0</v>
      </c>
      <c r="G593" s="7">
        <v>1</v>
      </c>
      <c r="H593" s="7">
        <v>20</v>
      </c>
      <c r="I593" s="7" t="b">
        <v>0</v>
      </c>
      <c r="J593" s="22">
        <f>--Table1[[#This Row],[HOLIDAY]]</f>
        <v>0</v>
      </c>
      <c r="K593" s="9">
        <v>4</v>
      </c>
      <c r="L593" s="7">
        <v>1</v>
      </c>
      <c r="M593" s="7">
        <f>LEN(TEXT(Table1[[#This Row],[WEATHER]],"0"))</f>
        <v>1</v>
      </c>
      <c r="N593" s="36">
        <v>0.18</v>
      </c>
      <c r="O593" s="37">
        <f>VLOOKUP(Table1[[#This Row],[INSTANT]],[1]dataset_2!$A:$G,2,FALSE)</f>
        <v>0.19700000000000001</v>
      </c>
      <c r="P593" s="37">
        <f>VLOOKUP(Table1[[#This Row],[INSTANT]],[1]dataset_2!$A:$G,3,0)</f>
        <v>0.86</v>
      </c>
      <c r="Q593" s="37">
        <f>VLOOKUP(Table1[[#This Row],[INSTANT]],[1]dataset_2!$A:$D,4,FALSE)</f>
        <v>8.9599999999999999E-2</v>
      </c>
      <c r="R593" s="37">
        <f>VLOOKUP(Table1[[#This Row],[INSTANT]],[1]dataset_2!$A:$G,5,0)</f>
        <v>2</v>
      </c>
      <c r="S593" s="38">
        <f>VLOOKUP(Table1[[#This Row],[INSTANT]],[1]dataset_2!$A:$G,6,0)</f>
        <v>155</v>
      </c>
      <c r="T593" s="38">
        <f>VLOOKUP(Table1[[#This Row],[INSTANT]],[1]dataset_2!$A:$G,7,0)</f>
        <v>157</v>
      </c>
    </row>
    <row r="594" spans="1:20" ht="13" x14ac:dyDescent="0.15">
      <c r="A594" s="35">
        <v>593</v>
      </c>
      <c r="B594" s="27">
        <v>40570</v>
      </c>
      <c r="C594" s="8" t="str">
        <f t="shared" si="18"/>
        <v>2011</v>
      </c>
      <c r="D594" s="8" t="str">
        <f t="shared" si="19"/>
        <v>27</v>
      </c>
      <c r="E594" s="7">
        <v>1</v>
      </c>
      <c r="F594" s="7">
        <v>0</v>
      </c>
      <c r="G594" s="7">
        <v>1</v>
      </c>
      <c r="H594" s="7">
        <v>21</v>
      </c>
      <c r="I594" s="7" t="b">
        <v>0</v>
      </c>
      <c r="J594" s="22">
        <f>--Table1[[#This Row],[HOLIDAY]]</f>
        <v>0</v>
      </c>
      <c r="K594" s="9">
        <v>4</v>
      </c>
      <c r="L594" s="7">
        <v>1</v>
      </c>
      <c r="M594" s="7">
        <f>LEN(TEXT(Table1[[#This Row],[WEATHER]],"0"))</f>
        <v>1</v>
      </c>
      <c r="N594" s="36">
        <v>0.18</v>
      </c>
      <c r="O594" s="37">
        <f>VLOOKUP(Table1[[#This Row],[INSTANT]],[1]dataset_2!$A:$G,2,FALSE)</f>
        <v>0.21210000000000001</v>
      </c>
      <c r="P594" s="37">
        <f>VLOOKUP(Table1[[#This Row],[INSTANT]],[1]dataset_2!$A:$G,3,0)</f>
        <v>0.86</v>
      </c>
      <c r="Q594" s="37">
        <f>VLOOKUP(Table1[[#This Row],[INSTANT]],[1]dataset_2!$A:$D,4,FALSE)</f>
        <v>8.9599999999999999E-2</v>
      </c>
      <c r="R594" s="37">
        <f>VLOOKUP(Table1[[#This Row],[INSTANT]],[1]dataset_2!$A:$G,5,0)</f>
        <v>6</v>
      </c>
      <c r="S594" s="38">
        <f>VLOOKUP(Table1[[#This Row],[INSTANT]],[1]dataset_2!$A:$G,6,0)</f>
        <v>95</v>
      </c>
      <c r="T594" s="38">
        <f>VLOOKUP(Table1[[#This Row],[INSTANT]],[1]dataset_2!$A:$G,7,0)</f>
        <v>101</v>
      </c>
    </row>
    <row r="595" spans="1:20" ht="13" x14ac:dyDescent="0.15">
      <c r="A595" s="35">
        <v>594</v>
      </c>
      <c r="B595" s="27">
        <v>40570</v>
      </c>
      <c r="C595" s="8" t="str">
        <f t="shared" si="18"/>
        <v>2011</v>
      </c>
      <c r="D595" s="8" t="str">
        <f t="shared" si="19"/>
        <v>27</v>
      </c>
      <c r="E595" s="7">
        <v>1</v>
      </c>
      <c r="F595" s="7">
        <v>0</v>
      </c>
      <c r="G595" s="7">
        <v>1</v>
      </c>
      <c r="H595" s="7">
        <v>22</v>
      </c>
      <c r="I595" s="7" t="b">
        <v>0</v>
      </c>
      <c r="J595" s="22">
        <f>--Table1[[#This Row],[HOLIDAY]]</f>
        <v>0</v>
      </c>
      <c r="K595" s="9">
        <v>4</v>
      </c>
      <c r="L595" s="7">
        <v>1</v>
      </c>
      <c r="M595" s="7">
        <f>LEN(TEXT(Table1[[#This Row],[WEATHER]],"0"))</f>
        <v>1</v>
      </c>
      <c r="N595" s="36">
        <v>0.18</v>
      </c>
      <c r="O595" s="37">
        <f>VLOOKUP(Table1[[#This Row],[INSTANT]],[1]dataset_2!$A:$G,2,FALSE)</f>
        <v>0.21210000000000001</v>
      </c>
      <c r="P595" s="37">
        <f>VLOOKUP(Table1[[#This Row],[INSTANT]],[1]dataset_2!$A:$G,3,0)</f>
        <v>0.86</v>
      </c>
      <c r="Q595" s="37">
        <f>VLOOKUP(Table1[[#This Row],[INSTANT]],[1]dataset_2!$A:$D,4,FALSE)</f>
        <v>0.1045</v>
      </c>
      <c r="R595" s="37">
        <f>VLOOKUP(Table1[[#This Row],[INSTANT]],[1]dataset_2!$A:$G,5,0)</f>
        <v>0</v>
      </c>
      <c r="S595" s="38">
        <f>VLOOKUP(Table1[[#This Row],[INSTANT]],[1]dataset_2!$A:$G,6,0)</f>
        <v>49</v>
      </c>
      <c r="T595" s="38">
        <f>VLOOKUP(Table1[[#This Row],[INSTANT]],[1]dataset_2!$A:$G,7,0)</f>
        <v>49</v>
      </c>
    </row>
    <row r="596" spans="1:20" ht="13" x14ac:dyDescent="0.15">
      <c r="A596" s="35">
        <v>595</v>
      </c>
      <c r="B596" s="27">
        <v>40570</v>
      </c>
      <c r="C596" s="8" t="str">
        <f t="shared" si="18"/>
        <v>2011</v>
      </c>
      <c r="D596" s="8" t="str">
        <f t="shared" si="19"/>
        <v>27</v>
      </c>
      <c r="E596" s="7">
        <v>1</v>
      </c>
      <c r="F596" s="7">
        <v>0</v>
      </c>
      <c r="G596" s="7">
        <v>1</v>
      </c>
      <c r="H596" s="7">
        <v>23</v>
      </c>
      <c r="I596" s="7" t="b">
        <v>0</v>
      </c>
      <c r="J596" s="22">
        <f>--Table1[[#This Row],[HOLIDAY]]</f>
        <v>0</v>
      </c>
      <c r="K596" s="9">
        <v>4</v>
      </c>
      <c r="L596" s="7">
        <v>1</v>
      </c>
      <c r="M596" s="7">
        <f>LEN(TEXT(Table1[[#This Row],[WEATHER]],"0"))</f>
        <v>1</v>
      </c>
      <c r="N596" s="36">
        <v>0.18</v>
      </c>
      <c r="O596" s="37">
        <f>VLOOKUP(Table1[[#This Row],[INSTANT]],[1]dataset_2!$A:$G,2,FALSE)</f>
        <v>0.21210000000000001</v>
      </c>
      <c r="P596" s="37">
        <f>VLOOKUP(Table1[[#This Row],[INSTANT]],[1]dataset_2!$A:$G,3,0)</f>
        <v>0.93</v>
      </c>
      <c r="Q596" s="37">
        <f>VLOOKUP(Table1[[#This Row],[INSTANT]],[1]dataset_2!$A:$D,4,FALSE)</f>
        <v>0.1045</v>
      </c>
      <c r="R596" s="37">
        <f>VLOOKUP(Table1[[#This Row],[INSTANT]],[1]dataset_2!$A:$G,5,0)</f>
        <v>0</v>
      </c>
      <c r="S596" s="38">
        <f>VLOOKUP(Table1[[#This Row],[INSTANT]],[1]dataset_2!$A:$G,6,0)</f>
        <v>30</v>
      </c>
      <c r="T596" s="38">
        <f>VLOOKUP(Table1[[#This Row],[INSTANT]],[1]dataset_2!$A:$G,7,0)</f>
        <v>30</v>
      </c>
    </row>
    <row r="597" spans="1:20" ht="13" x14ac:dyDescent="0.15">
      <c r="A597" s="35">
        <v>596</v>
      </c>
      <c r="B597" s="27">
        <v>40571</v>
      </c>
      <c r="C597" s="8" t="str">
        <f t="shared" si="18"/>
        <v>2011</v>
      </c>
      <c r="D597" s="8" t="str">
        <f t="shared" si="19"/>
        <v>28</v>
      </c>
      <c r="E597" s="7">
        <v>1</v>
      </c>
      <c r="F597" s="7">
        <v>0</v>
      </c>
      <c r="G597" s="7">
        <v>1</v>
      </c>
      <c r="H597" s="7">
        <v>0</v>
      </c>
      <c r="I597" s="7" t="b">
        <v>0</v>
      </c>
      <c r="J597" s="22">
        <f>--Table1[[#This Row],[HOLIDAY]]</f>
        <v>0</v>
      </c>
      <c r="K597" s="9">
        <v>5</v>
      </c>
      <c r="L597" s="7">
        <v>2</v>
      </c>
      <c r="M597" s="7">
        <f>LEN(TEXT(Table1[[#This Row],[WEATHER]],"0"))</f>
        <v>1</v>
      </c>
      <c r="N597" s="36">
        <v>0.2</v>
      </c>
      <c r="O597" s="37">
        <f>VLOOKUP(Table1[[#This Row],[INSTANT]],[1]dataset_2!$A:$G,2,FALSE)</f>
        <v>0.21210000000000001</v>
      </c>
      <c r="P597" s="37">
        <f>VLOOKUP(Table1[[#This Row],[INSTANT]],[1]dataset_2!$A:$G,3,0)</f>
        <v>0.93</v>
      </c>
      <c r="Q597" s="37">
        <f>VLOOKUP(Table1[[#This Row],[INSTANT]],[1]dataset_2!$A:$D,4,FALSE)</f>
        <v>0.1045</v>
      </c>
      <c r="R597" s="37">
        <f>VLOOKUP(Table1[[#This Row],[INSTANT]],[1]dataset_2!$A:$G,5,0)</f>
        <v>1</v>
      </c>
      <c r="S597" s="38">
        <f>VLOOKUP(Table1[[#This Row],[INSTANT]],[1]dataset_2!$A:$G,6,0)</f>
        <v>28</v>
      </c>
      <c r="T597" s="38">
        <f>VLOOKUP(Table1[[#This Row],[INSTANT]],[1]dataset_2!$A:$G,7,0)</f>
        <v>29</v>
      </c>
    </row>
    <row r="598" spans="1:20" ht="13" x14ac:dyDescent="0.15">
      <c r="A598" s="35">
        <v>597</v>
      </c>
      <c r="B598" s="27">
        <v>40571</v>
      </c>
      <c r="C598" s="8" t="str">
        <f t="shared" si="18"/>
        <v>2011</v>
      </c>
      <c r="D598" s="8" t="str">
        <f t="shared" si="19"/>
        <v>28</v>
      </c>
      <c r="E598" s="7">
        <v>1</v>
      </c>
      <c r="F598" s="7">
        <v>0</v>
      </c>
      <c r="G598" s="7">
        <v>1</v>
      </c>
      <c r="H598" s="7">
        <v>1</v>
      </c>
      <c r="I598" s="7" t="b">
        <v>0</v>
      </c>
      <c r="J598" s="22">
        <f>--Table1[[#This Row],[HOLIDAY]]</f>
        <v>0</v>
      </c>
      <c r="K598" s="9">
        <v>5</v>
      </c>
      <c r="L598" s="7">
        <v>2</v>
      </c>
      <c r="M598" s="7">
        <f>LEN(TEXT(Table1[[#This Row],[WEATHER]],"0"))</f>
        <v>1</v>
      </c>
      <c r="N598" s="36">
        <v>0.2</v>
      </c>
      <c r="O598" s="37">
        <f>VLOOKUP(Table1[[#This Row],[INSTANT]],[1]dataset_2!$A:$G,2,FALSE)</f>
        <v>0.21210000000000001</v>
      </c>
      <c r="P598" s="37">
        <f>VLOOKUP(Table1[[#This Row],[INSTANT]],[1]dataset_2!$A:$G,3,0)</f>
        <v>0.93</v>
      </c>
      <c r="Q598" s="37">
        <f>VLOOKUP(Table1[[#This Row],[INSTANT]],[1]dataset_2!$A:$D,4,FALSE)</f>
        <v>0.1045</v>
      </c>
      <c r="R598" s="37">
        <f>VLOOKUP(Table1[[#This Row],[INSTANT]],[1]dataset_2!$A:$G,5,0)</f>
        <v>0</v>
      </c>
      <c r="S598" s="38">
        <f>VLOOKUP(Table1[[#This Row],[INSTANT]],[1]dataset_2!$A:$G,6,0)</f>
        <v>31</v>
      </c>
      <c r="T598" s="38">
        <f>VLOOKUP(Table1[[#This Row],[INSTANT]],[1]dataset_2!$A:$G,7,0)</f>
        <v>31</v>
      </c>
    </row>
    <row r="599" spans="1:20" ht="13" x14ac:dyDescent="0.15">
      <c r="A599" s="35">
        <v>598</v>
      </c>
      <c r="B599" s="27">
        <v>40571</v>
      </c>
      <c r="C599" s="8" t="str">
        <f t="shared" si="18"/>
        <v>2011</v>
      </c>
      <c r="D599" s="8" t="str">
        <f t="shared" si="19"/>
        <v>28</v>
      </c>
      <c r="E599" s="7">
        <v>1</v>
      </c>
      <c r="F599" s="7">
        <v>0</v>
      </c>
      <c r="G599" s="7">
        <v>1</v>
      </c>
      <c r="H599" s="7">
        <v>2</v>
      </c>
      <c r="I599" s="7" t="b">
        <v>0</v>
      </c>
      <c r="J599" s="22">
        <f>--Table1[[#This Row],[HOLIDAY]]</f>
        <v>0</v>
      </c>
      <c r="K599" s="9">
        <v>5</v>
      </c>
      <c r="L599" s="7">
        <v>2</v>
      </c>
      <c r="M599" s="7">
        <f>LEN(TEXT(Table1[[#This Row],[WEATHER]],"0"))</f>
        <v>1</v>
      </c>
      <c r="N599" s="36">
        <v>0.2</v>
      </c>
      <c r="O599" s="37">
        <f>VLOOKUP(Table1[[#This Row],[INSTANT]],[1]dataset_2!$A:$G,2,FALSE)</f>
        <v>0.2727</v>
      </c>
      <c r="P599" s="37">
        <f>VLOOKUP(Table1[[#This Row],[INSTANT]],[1]dataset_2!$A:$G,3,0)</f>
        <v>0.8</v>
      </c>
      <c r="Q599" s="37">
        <f>VLOOKUP(Table1[[#This Row],[INSTANT]],[1]dataset_2!$A:$D,4,FALSE)</f>
        <v>0</v>
      </c>
      <c r="R599" s="37">
        <f>VLOOKUP(Table1[[#This Row],[INSTANT]],[1]dataset_2!$A:$G,5,0)</f>
        <v>2</v>
      </c>
      <c r="S599" s="38">
        <f>VLOOKUP(Table1[[#This Row],[INSTANT]],[1]dataset_2!$A:$G,6,0)</f>
        <v>36</v>
      </c>
      <c r="T599" s="38">
        <f>VLOOKUP(Table1[[#This Row],[INSTANT]],[1]dataset_2!$A:$G,7,0)</f>
        <v>38</v>
      </c>
    </row>
    <row r="600" spans="1:20" ht="13" x14ac:dyDescent="0.15">
      <c r="A600" s="35">
        <v>599</v>
      </c>
      <c r="B600" s="27">
        <v>40571</v>
      </c>
      <c r="C600" s="8" t="str">
        <f>RIGHT(TEXT(B601,"DD-MM-YYYY"),4)</f>
        <v>2011</v>
      </c>
      <c r="D600" s="8" t="str">
        <f t="shared" si="19"/>
        <v>28</v>
      </c>
      <c r="E600" s="7">
        <v>1</v>
      </c>
      <c r="F600" s="7">
        <v>0</v>
      </c>
      <c r="G600" s="7">
        <v>1</v>
      </c>
      <c r="H600" s="7">
        <v>3</v>
      </c>
      <c r="I600" s="7" t="b">
        <v>0</v>
      </c>
      <c r="J600" s="22">
        <f>--Table1[[#This Row],[HOLIDAY]]</f>
        <v>0</v>
      </c>
      <c r="K600" s="9">
        <v>5</v>
      </c>
      <c r="L600" s="7">
        <v>2</v>
      </c>
      <c r="M600" s="7">
        <f>LEN(TEXT(Table1[[#This Row],[WEATHER]],"0"))</f>
        <v>1</v>
      </c>
      <c r="N600" s="36">
        <v>0.2</v>
      </c>
      <c r="O600" s="37">
        <f>VLOOKUP(Table1[[#This Row],[INSTANT]],[1]dataset_2!$A:$G,2,FALSE)</f>
        <v>0.2576</v>
      </c>
      <c r="P600" s="37">
        <f>VLOOKUP(Table1[[#This Row],[INSTANT]],[1]dataset_2!$A:$G,3,0)</f>
        <v>0.86</v>
      </c>
      <c r="Q600" s="37">
        <f>VLOOKUP(Table1[[#This Row],[INSTANT]],[1]dataset_2!$A:$D,4,FALSE)</f>
        <v>0</v>
      </c>
      <c r="R600" s="37">
        <f>VLOOKUP(Table1[[#This Row],[INSTANT]],[1]dataset_2!$A:$G,5,0)</f>
        <v>1</v>
      </c>
      <c r="S600" s="38">
        <f>VLOOKUP(Table1[[#This Row],[INSTANT]],[1]dataset_2!$A:$G,6,0)</f>
        <v>40</v>
      </c>
      <c r="T600" s="38">
        <f>VLOOKUP(Table1[[#This Row],[INSTANT]],[1]dataset_2!$A:$G,7,0)</f>
        <v>41</v>
      </c>
    </row>
    <row r="601" spans="1:20" ht="13" x14ac:dyDescent="0.15">
      <c r="A601" s="35">
        <v>600</v>
      </c>
      <c r="B601" s="27">
        <v>40571</v>
      </c>
      <c r="C601" s="8" t="str">
        <f t="shared" si="18"/>
        <v>2011</v>
      </c>
      <c r="D601" s="8" t="str">
        <f t="shared" si="19"/>
        <v>28</v>
      </c>
      <c r="E601" s="7">
        <v>1</v>
      </c>
      <c r="F601" s="7">
        <v>0</v>
      </c>
      <c r="G601" s="7">
        <v>1</v>
      </c>
      <c r="H601" s="7">
        <v>5</v>
      </c>
      <c r="I601" s="7" t="b">
        <v>0</v>
      </c>
      <c r="J601" s="22">
        <f>--Table1[[#This Row],[HOLIDAY]]</f>
        <v>0</v>
      </c>
      <c r="K601" s="9">
        <v>5</v>
      </c>
      <c r="L601" s="7">
        <v>2</v>
      </c>
      <c r="M601" s="7">
        <f>LEN(TEXT(Table1[[#This Row],[WEATHER]],"0"))</f>
        <v>1</v>
      </c>
      <c r="N601" s="36">
        <v>0.18</v>
      </c>
      <c r="O601" s="37" t="e">
        <f>VLOOKUP(Table1[[#This Row],[INSTANT]],[1]dataset_2!$A:$G,2,FALSE)</f>
        <v>#N/A</v>
      </c>
      <c r="P601" s="37" t="e">
        <f>VLOOKUP(Table1[[#This Row],[INSTANT]],[1]dataset_2!$A:$G,3,0)</f>
        <v>#N/A</v>
      </c>
      <c r="Q601" s="37" t="e">
        <f>VLOOKUP(Table1[[#This Row],[INSTANT]],[1]dataset_2!$A:$D,4,FALSE)</f>
        <v>#N/A</v>
      </c>
      <c r="R601" s="37" t="e">
        <f>VLOOKUP(Table1[[#This Row],[INSTANT]],[1]dataset_2!$A:$G,5,0)</f>
        <v>#N/A</v>
      </c>
      <c r="S601" s="38" t="e">
        <f>VLOOKUP(Table1[[#This Row],[INSTANT]],[1]dataset_2!$A:$G,6,0)</f>
        <v>#N/A</v>
      </c>
      <c r="T601" s="38" t="e">
        <f>VLOOKUP(Table1[[#This Row],[INSTANT]],[1]dataset_2!$A:$G,7,0)</f>
        <v>#N/A</v>
      </c>
    </row>
    <row r="602" spans="1:20" ht="13" x14ac:dyDescent="0.15">
      <c r="A602" s="35">
        <v>601</v>
      </c>
      <c r="B602" s="27">
        <v>40571</v>
      </c>
      <c r="C602" s="8" t="str">
        <f t="shared" si="18"/>
        <v>2011</v>
      </c>
      <c r="D602" s="8" t="str">
        <f t="shared" si="19"/>
        <v>28</v>
      </c>
      <c r="E602" s="7">
        <v>1</v>
      </c>
      <c r="F602" s="7">
        <v>0</v>
      </c>
      <c r="G602" s="7">
        <v>1</v>
      </c>
      <c r="H602" s="7">
        <v>6</v>
      </c>
      <c r="I602" s="7" t="b">
        <v>0</v>
      </c>
      <c r="J602" s="22">
        <f>--Table1[[#This Row],[HOLIDAY]]</f>
        <v>0</v>
      </c>
      <c r="K602" s="9">
        <v>5</v>
      </c>
      <c r="L602" s="7">
        <v>2</v>
      </c>
      <c r="M602" s="7">
        <f>LEN(TEXT(Table1[[#This Row],[WEATHER]],"0"))</f>
        <v>1</v>
      </c>
      <c r="N602" s="36">
        <v>0.18</v>
      </c>
      <c r="O602" s="37" t="e">
        <f>VLOOKUP(Table1[[#This Row],[INSTANT]],[1]dataset_2!$A:$G,2,FALSE)</f>
        <v>#N/A</v>
      </c>
      <c r="P602" s="37" t="e">
        <f>VLOOKUP(Table1[[#This Row],[INSTANT]],[1]dataset_2!$A:$G,3,0)</f>
        <v>#N/A</v>
      </c>
      <c r="Q602" s="37" t="e">
        <f>VLOOKUP(Table1[[#This Row],[INSTANT]],[1]dataset_2!$A:$D,4,FALSE)</f>
        <v>#N/A</v>
      </c>
      <c r="R602" s="37" t="e">
        <f>VLOOKUP(Table1[[#This Row],[INSTANT]],[1]dataset_2!$A:$G,5,0)</f>
        <v>#N/A</v>
      </c>
      <c r="S602" s="38" t="e">
        <f>VLOOKUP(Table1[[#This Row],[INSTANT]],[1]dataset_2!$A:$G,6,0)</f>
        <v>#N/A</v>
      </c>
      <c r="T602" s="38" t="e">
        <f>VLOOKUP(Table1[[#This Row],[INSTANT]],[1]dataset_2!$A:$G,7,0)</f>
        <v>#N/A</v>
      </c>
    </row>
    <row r="603" spans="1:20" ht="13" x14ac:dyDescent="0.15">
      <c r="A603" s="35">
        <v>602</v>
      </c>
      <c r="B603" s="27">
        <v>40571</v>
      </c>
      <c r="C603" s="8" t="str">
        <f t="shared" si="18"/>
        <v>2011</v>
      </c>
      <c r="D603" s="8" t="str">
        <f t="shared" si="19"/>
        <v>28</v>
      </c>
      <c r="E603" s="7">
        <v>1</v>
      </c>
      <c r="F603" s="7">
        <v>0</v>
      </c>
      <c r="G603" s="7">
        <v>1</v>
      </c>
      <c r="H603" s="7">
        <v>7</v>
      </c>
      <c r="I603" s="7" t="b">
        <v>0</v>
      </c>
      <c r="J603" s="22">
        <f>--Table1[[#This Row],[HOLIDAY]]</f>
        <v>0</v>
      </c>
      <c r="K603" s="9">
        <v>5</v>
      </c>
      <c r="L603" s="7">
        <v>2</v>
      </c>
      <c r="M603" s="7">
        <f>LEN(TEXT(Table1[[#This Row],[WEATHER]],"0"))</f>
        <v>1</v>
      </c>
      <c r="N603" s="36">
        <v>0.16</v>
      </c>
      <c r="O603" s="37" t="e">
        <f>VLOOKUP(Table1[[#This Row],[INSTANT]],[1]dataset_2!$A:$G,2,FALSE)</f>
        <v>#N/A</v>
      </c>
      <c r="P603" s="37" t="e">
        <f>VLOOKUP(Table1[[#This Row],[INSTANT]],[1]dataset_2!$A:$G,3,0)</f>
        <v>#N/A</v>
      </c>
      <c r="Q603" s="37" t="e">
        <f>VLOOKUP(Table1[[#This Row],[INSTANT]],[1]dataset_2!$A:$D,4,FALSE)</f>
        <v>#N/A</v>
      </c>
      <c r="R603" s="37" t="e">
        <f>VLOOKUP(Table1[[#This Row],[INSTANT]],[1]dataset_2!$A:$G,5,0)</f>
        <v>#N/A</v>
      </c>
      <c r="S603" s="38" t="e">
        <f>VLOOKUP(Table1[[#This Row],[INSTANT]],[1]dataset_2!$A:$G,6,0)</f>
        <v>#N/A</v>
      </c>
      <c r="T603" s="38" t="e">
        <f>VLOOKUP(Table1[[#This Row],[INSTANT]],[1]dataset_2!$A:$G,7,0)</f>
        <v>#N/A</v>
      </c>
    </row>
    <row r="604" spans="1:20" ht="13" x14ac:dyDescent="0.15">
      <c r="A604" s="35">
        <v>603</v>
      </c>
      <c r="B604" s="27">
        <v>40571</v>
      </c>
      <c r="C604" s="8" t="str">
        <f t="shared" si="18"/>
        <v>2011</v>
      </c>
      <c r="D604" s="8" t="str">
        <f t="shared" si="19"/>
        <v>28</v>
      </c>
      <c r="E604" s="7">
        <v>1</v>
      </c>
      <c r="F604" s="7">
        <v>0</v>
      </c>
      <c r="G604" s="7">
        <v>1</v>
      </c>
      <c r="H604" s="7">
        <v>8</v>
      </c>
      <c r="I604" s="7" t="b">
        <v>0</v>
      </c>
      <c r="J604" s="22">
        <f>--Table1[[#This Row],[HOLIDAY]]</f>
        <v>0</v>
      </c>
      <c r="K604" s="9">
        <v>5</v>
      </c>
      <c r="L604" s="7">
        <v>2</v>
      </c>
      <c r="M604" s="7">
        <f>LEN(TEXT(Table1[[#This Row],[WEATHER]],"0"))</f>
        <v>1</v>
      </c>
      <c r="N604" s="36">
        <v>0.16</v>
      </c>
      <c r="O604" s="37" t="e">
        <f>VLOOKUP(Table1[[#This Row],[INSTANT]],[1]dataset_2!$A:$G,2,FALSE)</f>
        <v>#N/A</v>
      </c>
      <c r="P604" s="37" t="e">
        <f>VLOOKUP(Table1[[#This Row],[INSTANT]],[1]dataset_2!$A:$G,3,0)</f>
        <v>#N/A</v>
      </c>
      <c r="Q604" s="37" t="e">
        <f>VLOOKUP(Table1[[#This Row],[INSTANT]],[1]dataset_2!$A:$D,4,FALSE)</f>
        <v>#N/A</v>
      </c>
      <c r="R604" s="37" t="e">
        <f>VLOOKUP(Table1[[#This Row],[INSTANT]],[1]dataset_2!$A:$G,5,0)</f>
        <v>#N/A</v>
      </c>
      <c r="S604" s="38" t="e">
        <f>VLOOKUP(Table1[[#This Row],[INSTANT]],[1]dataset_2!$A:$G,6,0)</f>
        <v>#N/A</v>
      </c>
      <c r="T604" s="38" t="e">
        <f>VLOOKUP(Table1[[#This Row],[INSTANT]],[1]dataset_2!$A:$G,7,0)</f>
        <v>#N/A</v>
      </c>
    </row>
    <row r="605" spans="1:20" ht="13" x14ac:dyDescent="0.15">
      <c r="A605" s="35">
        <v>604</v>
      </c>
      <c r="B605" s="27">
        <v>40571</v>
      </c>
      <c r="C605" s="8" t="str">
        <f t="shared" si="18"/>
        <v>2011</v>
      </c>
      <c r="D605" s="8" t="str">
        <f t="shared" si="19"/>
        <v>28</v>
      </c>
      <c r="E605" s="7">
        <v>1</v>
      </c>
      <c r="F605" s="7">
        <v>0</v>
      </c>
      <c r="G605" s="7">
        <v>1</v>
      </c>
      <c r="H605" s="7">
        <v>9</v>
      </c>
      <c r="I605" s="7" t="b">
        <v>0</v>
      </c>
      <c r="J605" s="22">
        <f>--Table1[[#This Row],[HOLIDAY]]</f>
        <v>0</v>
      </c>
      <c r="K605" s="9">
        <v>5</v>
      </c>
      <c r="L605" s="7">
        <v>3</v>
      </c>
      <c r="M605" s="7">
        <f>LEN(TEXT(Table1[[#This Row],[WEATHER]],"0"))</f>
        <v>1</v>
      </c>
      <c r="N605" s="36">
        <v>0.18</v>
      </c>
      <c r="O605" s="37" t="e">
        <f>VLOOKUP(Table1[[#This Row],[INSTANT]],[1]dataset_2!$A:$G,2,FALSE)</f>
        <v>#N/A</v>
      </c>
      <c r="P605" s="37" t="e">
        <f>VLOOKUP(Table1[[#This Row],[INSTANT]],[1]dataset_2!$A:$G,3,0)</f>
        <v>#N/A</v>
      </c>
      <c r="Q605" s="37" t="e">
        <f>VLOOKUP(Table1[[#This Row],[INSTANT]],[1]dataset_2!$A:$D,4,FALSE)</f>
        <v>#N/A</v>
      </c>
      <c r="R605" s="37" t="e">
        <f>VLOOKUP(Table1[[#This Row],[INSTANT]],[1]dataset_2!$A:$G,5,0)</f>
        <v>#N/A</v>
      </c>
      <c r="S605" s="38" t="e">
        <f>VLOOKUP(Table1[[#This Row],[INSTANT]],[1]dataset_2!$A:$G,6,0)</f>
        <v>#N/A</v>
      </c>
      <c r="T605" s="38" t="e">
        <f>VLOOKUP(Table1[[#This Row],[INSTANT]],[1]dataset_2!$A:$G,7,0)</f>
        <v>#N/A</v>
      </c>
    </row>
    <row r="606" spans="1:20" ht="13" x14ac:dyDescent="0.15">
      <c r="A606" s="35">
        <v>605</v>
      </c>
      <c r="B606" s="27">
        <v>40571</v>
      </c>
      <c r="C606" s="8" t="str">
        <f t="shared" si="18"/>
        <v>2011</v>
      </c>
      <c r="D606" s="8" t="str">
        <f t="shared" si="19"/>
        <v>28</v>
      </c>
      <c r="E606" s="7">
        <v>1</v>
      </c>
      <c r="F606" s="7">
        <v>0</v>
      </c>
      <c r="G606" s="7">
        <v>1</v>
      </c>
      <c r="H606" s="7">
        <v>10</v>
      </c>
      <c r="I606" s="7" t="b">
        <v>0</v>
      </c>
      <c r="J606" s="22">
        <f>--Table1[[#This Row],[HOLIDAY]]</f>
        <v>0</v>
      </c>
      <c r="K606" s="9">
        <v>5</v>
      </c>
      <c r="L606" s="7">
        <v>3</v>
      </c>
      <c r="M606" s="7">
        <f>LEN(TEXT(Table1[[#This Row],[WEATHER]],"0"))</f>
        <v>1</v>
      </c>
      <c r="N606" s="36">
        <v>0.18</v>
      </c>
      <c r="O606" s="37" t="e">
        <f>VLOOKUP(Table1[[#This Row],[INSTANT]],[1]dataset_2!$A:$G,2,FALSE)</f>
        <v>#N/A</v>
      </c>
      <c r="P606" s="37" t="e">
        <f>VLOOKUP(Table1[[#This Row],[INSTANT]],[1]dataset_2!$A:$G,3,0)</f>
        <v>#N/A</v>
      </c>
      <c r="Q606" s="37" t="e">
        <f>VLOOKUP(Table1[[#This Row],[INSTANT]],[1]dataset_2!$A:$D,4,FALSE)</f>
        <v>#N/A</v>
      </c>
      <c r="R606" s="37" t="e">
        <f>VLOOKUP(Table1[[#This Row],[INSTANT]],[1]dataset_2!$A:$G,5,0)</f>
        <v>#N/A</v>
      </c>
      <c r="S606" s="38" t="e">
        <f>VLOOKUP(Table1[[#This Row],[INSTANT]],[1]dataset_2!$A:$G,6,0)</f>
        <v>#N/A</v>
      </c>
      <c r="T606" s="38" t="e">
        <f>VLOOKUP(Table1[[#This Row],[INSTANT]],[1]dataset_2!$A:$G,7,0)</f>
        <v>#N/A</v>
      </c>
    </row>
    <row r="607" spans="1:20" ht="13" x14ac:dyDescent="0.15">
      <c r="A607" s="35">
        <v>606</v>
      </c>
      <c r="B607" s="27">
        <v>40571</v>
      </c>
      <c r="C607" s="8" t="str">
        <f t="shared" si="18"/>
        <v>2011</v>
      </c>
      <c r="D607" s="8" t="str">
        <f t="shared" si="19"/>
        <v>28</v>
      </c>
      <c r="E607" s="7">
        <v>1</v>
      </c>
      <c r="F607" s="7">
        <v>0</v>
      </c>
      <c r="G607" s="7">
        <v>1</v>
      </c>
      <c r="H607" s="7">
        <v>11</v>
      </c>
      <c r="I607" s="7" t="b">
        <v>0</v>
      </c>
      <c r="J607" s="22">
        <f>--Table1[[#This Row],[HOLIDAY]]</f>
        <v>0</v>
      </c>
      <c r="K607" s="9">
        <v>5</v>
      </c>
      <c r="L607" s="7">
        <v>3</v>
      </c>
      <c r="M607" s="7">
        <f>LEN(TEXT(Table1[[#This Row],[WEATHER]],"0"))</f>
        <v>1</v>
      </c>
      <c r="N607" s="36">
        <v>0.18</v>
      </c>
      <c r="O607" s="37" t="e">
        <f>VLOOKUP(Table1[[#This Row],[INSTANT]],[1]dataset_2!$A:$G,2,FALSE)</f>
        <v>#N/A</v>
      </c>
      <c r="P607" s="37" t="e">
        <f>VLOOKUP(Table1[[#This Row],[INSTANT]],[1]dataset_2!$A:$G,3,0)</f>
        <v>#N/A</v>
      </c>
      <c r="Q607" s="37" t="e">
        <f>VLOOKUP(Table1[[#This Row],[INSTANT]],[1]dataset_2!$A:$D,4,FALSE)</f>
        <v>#N/A</v>
      </c>
      <c r="R607" s="37" t="e">
        <f>VLOOKUP(Table1[[#This Row],[INSTANT]],[1]dataset_2!$A:$G,5,0)</f>
        <v>#N/A</v>
      </c>
      <c r="S607" s="38" t="e">
        <f>VLOOKUP(Table1[[#This Row],[INSTANT]],[1]dataset_2!$A:$G,6,0)</f>
        <v>#N/A</v>
      </c>
      <c r="T607" s="38" t="e">
        <f>VLOOKUP(Table1[[#This Row],[INSTANT]],[1]dataset_2!$A:$G,7,0)</f>
        <v>#N/A</v>
      </c>
    </row>
    <row r="608" spans="1:20" ht="13" x14ac:dyDescent="0.15">
      <c r="A608" s="35">
        <v>607</v>
      </c>
      <c r="B608" s="27">
        <v>40571</v>
      </c>
      <c r="C608" s="8" t="str">
        <f t="shared" si="18"/>
        <v>2011</v>
      </c>
      <c r="D608" s="8" t="str">
        <f t="shared" si="19"/>
        <v>28</v>
      </c>
      <c r="E608" s="7">
        <v>1</v>
      </c>
      <c r="F608" s="7">
        <v>0</v>
      </c>
      <c r="G608" s="7">
        <v>1</v>
      </c>
      <c r="H608" s="7">
        <v>12</v>
      </c>
      <c r="I608" s="7" t="b">
        <v>0</v>
      </c>
      <c r="J608" s="22">
        <f>--Table1[[#This Row],[HOLIDAY]]</f>
        <v>0</v>
      </c>
      <c r="K608" s="9">
        <v>5</v>
      </c>
      <c r="L608" s="7">
        <v>3</v>
      </c>
      <c r="M608" s="7">
        <f>LEN(TEXT(Table1[[#This Row],[WEATHER]],"0"))</f>
        <v>1</v>
      </c>
      <c r="N608" s="36">
        <v>0.18</v>
      </c>
      <c r="O608" s="37" t="e">
        <f>VLOOKUP(Table1[[#This Row],[INSTANT]],[1]dataset_2!$A:$G,2,FALSE)</f>
        <v>#N/A</v>
      </c>
      <c r="P608" s="37" t="e">
        <f>VLOOKUP(Table1[[#This Row],[INSTANT]],[1]dataset_2!$A:$G,3,0)</f>
        <v>#N/A</v>
      </c>
      <c r="Q608" s="37" t="e">
        <f>VLOOKUP(Table1[[#This Row],[INSTANT]],[1]dataset_2!$A:$D,4,FALSE)</f>
        <v>#N/A</v>
      </c>
      <c r="R608" s="37" t="e">
        <f>VLOOKUP(Table1[[#This Row],[INSTANT]],[1]dataset_2!$A:$G,5,0)</f>
        <v>#N/A</v>
      </c>
      <c r="S608" s="38" t="e">
        <f>VLOOKUP(Table1[[#This Row],[INSTANT]],[1]dataset_2!$A:$G,6,0)</f>
        <v>#N/A</v>
      </c>
      <c r="T608" s="38" t="e">
        <f>VLOOKUP(Table1[[#This Row],[INSTANT]],[1]dataset_2!$A:$G,7,0)</f>
        <v>#N/A</v>
      </c>
    </row>
    <row r="609" spans="1:20" ht="13" x14ac:dyDescent="0.15">
      <c r="A609" s="35">
        <v>608</v>
      </c>
      <c r="B609" s="27">
        <v>40571</v>
      </c>
      <c r="C609" s="8" t="str">
        <f t="shared" si="18"/>
        <v>2011</v>
      </c>
      <c r="D609" s="8" t="str">
        <f t="shared" si="19"/>
        <v>28</v>
      </c>
      <c r="E609" s="7">
        <v>1</v>
      </c>
      <c r="F609" s="7">
        <v>0</v>
      </c>
      <c r="G609" s="7">
        <v>1</v>
      </c>
      <c r="H609" s="7">
        <v>13</v>
      </c>
      <c r="I609" s="7" t="b">
        <v>0</v>
      </c>
      <c r="J609" s="22">
        <f>--Table1[[#This Row],[HOLIDAY]]</f>
        <v>0</v>
      </c>
      <c r="K609" s="9">
        <v>5</v>
      </c>
      <c r="L609" s="7">
        <v>3</v>
      </c>
      <c r="M609" s="7">
        <f>LEN(TEXT(Table1[[#This Row],[WEATHER]],"0"))</f>
        <v>1</v>
      </c>
      <c r="N609" s="36">
        <v>0.18</v>
      </c>
      <c r="O609" s="37" t="e">
        <f>VLOOKUP(Table1[[#This Row],[INSTANT]],[1]dataset_2!$A:$G,2,FALSE)</f>
        <v>#N/A</v>
      </c>
      <c r="P609" s="37" t="e">
        <f>VLOOKUP(Table1[[#This Row],[INSTANT]],[1]dataset_2!$A:$G,3,0)</f>
        <v>#N/A</v>
      </c>
      <c r="Q609" s="37" t="e">
        <f>VLOOKUP(Table1[[#This Row],[INSTANT]],[1]dataset_2!$A:$D,4,FALSE)</f>
        <v>#N/A</v>
      </c>
      <c r="R609" s="37" t="e">
        <f>VLOOKUP(Table1[[#This Row],[INSTANT]],[1]dataset_2!$A:$G,5,0)</f>
        <v>#N/A</v>
      </c>
      <c r="S609" s="38" t="e">
        <f>VLOOKUP(Table1[[#This Row],[INSTANT]],[1]dataset_2!$A:$G,6,0)</f>
        <v>#N/A</v>
      </c>
      <c r="T609" s="38" t="e">
        <f>VLOOKUP(Table1[[#This Row],[INSTANT]],[1]dataset_2!$A:$G,7,0)</f>
        <v>#N/A</v>
      </c>
    </row>
    <row r="610" spans="1:20" ht="13" x14ac:dyDescent="0.15">
      <c r="A610" s="35">
        <v>609</v>
      </c>
      <c r="B610" s="27">
        <v>40571</v>
      </c>
      <c r="C610" s="8" t="str">
        <f t="shared" si="18"/>
        <v>2011</v>
      </c>
      <c r="D610" s="8" t="str">
        <f t="shared" si="19"/>
        <v>28</v>
      </c>
      <c r="E610" s="7">
        <v>1</v>
      </c>
      <c r="F610" s="7">
        <v>0</v>
      </c>
      <c r="G610" s="7">
        <v>1</v>
      </c>
      <c r="H610" s="7">
        <v>14</v>
      </c>
      <c r="I610" s="7" t="b">
        <v>0</v>
      </c>
      <c r="J610" s="22">
        <f>--Table1[[#This Row],[HOLIDAY]]</f>
        <v>0</v>
      </c>
      <c r="K610" s="9">
        <v>5</v>
      </c>
      <c r="L610" s="7">
        <v>3</v>
      </c>
      <c r="M610" s="7">
        <f>LEN(TEXT(Table1[[#This Row],[WEATHER]],"0"))</f>
        <v>1</v>
      </c>
      <c r="N610" s="36">
        <v>0.22</v>
      </c>
      <c r="O610" s="37" t="e">
        <f>VLOOKUP(Table1[[#This Row],[INSTANT]],[1]dataset_2!$A:$G,2,FALSE)</f>
        <v>#N/A</v>
      </c>
      <c r="P610" s="37" t="e">
        <f>VLOOKUP(Table1[[#This Row],[INSTANT]],[1]dataset_2!$A:$G,3,0)</f>
        <v>#N/A</v>
      </c>
      <c r="Q610" s="37" t="e">
        <f>VLOOKUP(Table1[[#This Row],[INSTANT]],[1]dataset_2!$A:$D,4,FALSE)</f>
        <v>#N/A</v>
      </c>
      <c r="R610" s="37" t="e">
        <f>VLOOKUP(Table1[[#This Row],[INSTANT]],[1]dataset_2!$A:$G,5,0)</f>
        <v>#N/A</v>
      </c>
      <c r="S610" s="38" t="e">
        <f>VLOOKUP(Table1[[#This Row],[INSTANT]],[1]dataset_2!$A:$G,6,0)</f>
        <v>#N/A</v>
      </c>
      <c r="T610" s="38" t="e">
        <f>VLOOKUP(Table1[[#This Row],[INSTANT]],[1]dataset_2!$A:$G,7,0)</f>
        <v>#N/A</v>
      </c>
    </row>
    <row r="611" spans="1:20" ht="13" x14ac:dyDescent="0.15">
      <c r="A611" s="35">
        <v>610</v>
      </c>
      <c r="B611" s="27">
        <v>40571</v>
      </c>
      <c r="C611" s="8" t="str">
        <f t="shared" si="18"/>
        <v>1900</v>
      </c>
      <c r="D611" s="8" t="str">
        <f t="shared" si="19"/>
        <v>28</v>
      </c>
      <c r="E611" s="7">
        <v>1</v>
      </c>
      <c r="F611" s="7">
        <v>0</v>
      </c>
      <c r="G611" s="7">
        <v>1</v>
      </c>
      <c r="H611" s="7">
        <v>15</v>
      </c>
      <c r="I611" s="7" t="b">
        <v>0</v>
      </c>
      <c r="J611" s="22">
        <f>--Table1[[#This Row],[HOLIDAY]]</f>
        <v>0</v>
      </c>
      <c r="K611" s="9">
        <v>5</v>
      </c>
      <c r="L611" s="7">
        <v>2</v>
      </c>
      <c r="M611" s="7">
        <f>LEN(TEXT(Table1[[#This Row],[WEATHER]],"0"))</f>
        <v>1</v>
      </c>
      <c r="N611" s="36">
        <v>0.2</v>
      </c>
      <c r="O611" s="37" t="e">
        <f>VLOOKUP(Table1[[#This Row],[INSTANT]],[1]dataset_2!$A:$G,2,FALSE)</f>
        <v>#N/A</v>
      </c>
      <c r="P611" s="37" t="e">
        <f>VLOOKUP(Table1[[#This Row],[INSTANT]],[1]dataset_2!$A:$G,3,0)</f>
        <v>#N/A</v>
      </c>
      <c r="Q611" s="37" t="e">
        <f>VLOOKUP(Table1[[#This Row],[INSTANT]],[1]dataset_2!$A:$D,4,FALSE)</f>
        <v>#N/A</v>
      </c>
      <c r="R611" s="37" t="e">
        <f>VLOOKUP(Table1[[#This Row],[INSTANT]],[1]dataset_2!$A:$G,5,0)</f>
        <v>#N/A</v>
      </c>
      <c r="S611" s="38" t="e">
        <f>VLOOKUP(Table1[[#This Row],[INSTANT]],[1]dataset_2!$A:$G,6,0)</f>
        <v>#N/A</v>
      </c>
      <c r="T611" s="38" t="e">
        <f>VLOOKUP(Table1[[#This Row],[INSTANT]],[1]dataset_2!$A:$G,7,0)</f>
        <v>#N/A</v>
      </c>
    </row>
    <row r="614" spans="1:20" ht="15.75" customHeight="1" x14ac:dyDescent="0.15">
      <c r="L614" s="15" t="s">
        <v>36</v>
      </c>
      <c r="M614" s="15"/>
      <c r="N614" s="6">
        <f>SUM(N2:N611)</f>
        <v>120.10000000000005</v>
      </c>
    </row>
    <row r="615" spans="1:20" ht="15.75" customHeight="1" x14ac:dyDescent="0.15">
      <c r="L615" s="15" t="s">
        <v>37</v>
      </c>
      <c r="M615" s="15"/>
      <c r="N615" s="6">
        <f>AVERAGE(N2:N611)</f>
        <v>0.19688524590163942</v>
      </c>
    </row>
    <row r="617" spans="1:20" ht="15.75" customHeight="1" x14ac:dyDescent="0.15">
      <c r="L617" s="15" t="s">
        <v>38</v>
      </c>
      <c r="M617" s="15"/>
      <c r="N617" s="16">
        <f>COUNT(N2:N611)</f>
        <v>610</v>
      </c>
    </row>
    <row r="623" spans="1:20" ht="15.75" customHeight="1" x14ac:dyDescent="0.15">
      <c r="A623" s="32" t="s">
        <v>42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AA6B-4846-D14C-9775-B920BC84E2BB}">
  <dimension ref="A3:B53"/>
  <sheetViews>
    <sheetView zoomScale="125" workbookViewId="0">
      <selection activeCell="B23" sqref="B23"/>
    </sheetView>
  </sheetViews>
  <sheetFormatPr baseColWidth="10" defaultRowHeight="13" x14ac:dyDescent="0.15"/>
  <cols>
    <col min="1" max="1" width="10.6640625" bestFit="1" customWidth="1"/>
    <col min="2" max="2" width="21" bestFit="1" customWidth="1"/>
  </cols>
  <sheetData>
    <row r="3" spans="1:2" x14ac:dyDescent="0.15">
      <c r="A3" s="10" t="s">
        <v>3</v>
      </c>
      <c r="B3" t="s">
        <v>12</v>
      </c>
    </row>
    <row r="4" spans="1:2" x14ac:dyDescent="0.15">
      <c r="A4" s="11">
        <v>40544</v>
      </c>
      <c r="B4" s="1">
        <v>8.2600000000000016</v>
      </c>
    </row>
    <row r="5" spans="1:2" x14ac:dyDescent="0.15">
      <c r="A5" s="11">
        <v>40545</v>
      </c>
      <c r="B5" s="1">
        <v>8.3600000000000012</v>
      </c>
    </row>
    <row r="6" spans="1:2" x14ac:dyDescent="0.15">
      <c r="A6" s="11">
        <v>40546</v>
      </c>
      <c r="B6" s="1">
        <v>4.3199999999999994</v>
      </c>
    </row>
    <row r="7" spans="1:2" x14ac:dyDescent="0.15">
      <c r="A7" s="11">
        <v>40547</v>
      </c>
      <c r="B7" s="1">
        <v>4.5999999999999996</v>
      </c>
    </row>
    <row r="8" spans="1:2" x14ac:dyDescent="0.15">
      <c r="A8" s="11">
        <v>40548</v>
      </c>
      <c r="B8" s="1">
        <v>5.22</v>
      </c>
    </row>
    <row r="9" spans="1:2" x14ac:dyDescent="0.15">
      <c r="A9" s="11">
        <v>40549</v>
      </c>
      <c r="B9" s="1">
        <v>4.7</v>
      </c>
    </row>
    <row r="10" spans="1:2" x14ac:dyDescent="0.15">
      <c r="A10" s="11">
        <v>40550</v>
      </c>
      <c r="B10" s="1">
        <v>4.5200000000000014</v>
      </c>
    </row>
    <row r="11" spans="1:2" x14ac:dyDescent="0.15">
      <c r="A11" s="11">
        <v>40551</v>
      </c>
      <c r="B11" s="1">
        <v>3.9600000000000013</v>
      </c>
    </row>
    <row r="12" spans="1:2" x14ac:dyDescent="0.15">
      <c r="A12" s="11">
        <v>40552</v>
      </c>
      <c r="B12" s="1">
        <v>3.3200000000000012</v>
      </c>
    </row>
    <row r="13" spans="1:2" x14ac:dyDescent="0.15">
      <c r="A13" s="11">
        <v>40553</v>
      </c>
      <c r="B13" s="1">
        <v>3.6200000000000014</v>
      </c>
    </row>
    <row r="14" spans="1:2" x14ac:dyDescent="0.15">
      <c r="A14" s="11">
        <v>40554</v>
      </c>
      <c r="B14" s="1">
        <v>3.7200000000000015</v>
      </c>
    </row>
    <row r="15" spans="1:2" x14ac:dyDescent="0.15">
      <c r="A15" s="11">
        <v>40555</v>
      </c>
      <c r="B15" s="1">
        <v>3.8000000000000012</v>
      </c>
    </row>
    <row r="16" spans="1:2" x14ac:dyDescent="0.15">
      <c r="A16" s="11">
        <v>40556</v>
      </c>
      <c r="B16" s="1">
        <v>3.9600000000000017</v>
      </c>
    </row>
    <row r="17" spans="1:2" x14ac:dyDescent="0.15">
      <c r="A17" s="11">
        <v>40557</v>
      </c>
      <c r="B17" s="1">
        <v>3.7000000000000011</v>
      </c>
    </row>
    <row r="18" spans="1:2" x14ac:dyDescent="0.15">
      <c r="A18" s="11">
        <v>40558</v>
      </c>
      <c r="B18" s="1">
        <v>5.6</v>
      </c>
    </row>
    <row r="19" spans="1:2" x14ac:dyDescent="0.15">
      <c r="A19" s="11">
        <v>40559</v>
      </c>
      <c r="B19" s="1">
        <v>5.5600000000000005</v>
      </c>
    </row>
    <row r="20" spans="1:2" x14ac:dyDescent="0.15">
      <c r="A20" s="11">
        <v>40560</v>
      </c>
      <c r="B20" s="1">
        <v>4.2200000000000015</v>
      </c>
    </row>
    <row r="21" spans="1:2" x14ac:dyDescent="0.15">
      <c r="A21" s="11">
        <v>40561</v>
      </c>
      <c r="B21" s="1">
        <v>2.6000000000000005</v>
      </c>
    </row>
    <row r="22" spans="1:2" x14ac:dyDescent="0.15">
      <c r="A22" s="11">
        <v>40562</v>
      </c>
      <c r="B22" s="1">
        <v>6.7200000000000006</v>
      </c>
    </row>
    <row r="23" spans="1:2" x14ac:dyDescent="0.15">
      <c r="A23" s="11">
        <v>40563</v>
      </c>
      <c r="B23" s="1">
        <v>6.28</v>
      </c>
    </row>
    <row r="24" spans="1:2" x14ac:dyDescent="0.15">
      <c r="A24" s="11">
        <v>40564</v>
      </c>
      <c r="B24" s="1">
        <v>4.2600000000000007</v>
      </c>
    </row>
    <row r="25" spans="1:2" x14ac:dyDescent="0.15">
      <c r="A25" s="11">
        <v>40565</v>
      </c>
      <c r="B25" s="1">
        <v>1.36</v>
      </c>
    </row>
    <row r="26" spans="1:2" x14ac:dyDescent="0.15">
      <c r="A26" s="11">
        <v>40566</v>
      </c>
      <c r="B26" s="1">
        <v>2.2200000000000002</v>
      </c>
    </row>
    <row r="27" spans="1:2" x14ac:dyDescent="0.15">
      <c r="A27" s="11">
        <v>40567</v>
      </c>
      <c r="B27" s="1">
        <v>2.2400000000000007</v>
      </c>
    </row>
    <row r="28" spans="1:2" x14ac:dyDescent="0.15">
      <c r="A28" s="11">
        <v>40568</v>
      </c>
      <c r="B28" s="1">
        <v>5.1399999999999988</v>
      </c>
    </row>
    <row r="29" spans="1:2" x14ac:dyDescent="0.15">
      <c r="A29" s="11">
        <v>40569</v>
      </c>
      <c r="B29" s="1">
        <v>3.4800000000000009</v>
      </c>
    </row>
    <row r="30" spans="1:2" x14ac:dyDescent="0.15">
      <c r="A30" s="11">
        <v>40570</v>
      </c>
      <c r="B30" s="1">
        <v>1.5599999999999998</v>
      </c>
    </row>
    <row r="31" spans="1:2" x14ac:dyDescent="0.15">
      <c r="A31" s="11">
        <v>40571</v>
      </c>
      <c r="B31" s="1">
        <v>2.8000000000000003</v>
      </c>
    </row>
    <row r="32" spans="1:2" x14ac:dyDescent="0.15">
      <c r="A32" s="11" t="s">
        <v>11</v>
      </c>
      <c r="B32" s="1">
        <v>120.10000000000001</v>
      </c>
    </row>
    <row r="44" spans="2:2" x14ac:dyDescent="0.15">
      <c r="B44" s="13"/>
    </row>
    <row r="47" spans="2:2" x14ac:dyDescent="0.15">
      <c r="B47" s="14" t="s">
        <v>15</v>
      </c>
    </row>
    <row r="48" spans="2:2" x14ac:dyDescent="0.15">
      <c r="B48" s="13" t="s">
        <v>16</v>
      </c>
    </row>
    <row r="49" spans="2:2" x14ac:dyDescent="0.15">
      <c r="B49" s="13" t="s">
        <v>17</v>
      </c>
    </row>
    <row r="50" spans="2:2" x14ac:dyDescent="0.15">
      <c r="B50" s="13" t="s">
        <v>18</v>
      </c>
    </row>
    <row r="52" spans="2:2" x14ac:dyDescent="0.15">
      <c r="B52" s="13" t="s">
        <v>19</v>
      </c>
    </row>
    <row r="53" spans="2:2" x14ac:dyDescent="0.15">
      <c r="B53" s="13" t="s">
        <v>20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7A9F-E194-9940-8D88-1FF877BB7A44}">
  <dimension ref="A3:C48"/>
  <sheetViews>
    <sheetView topLeftCell="A3" workbookViewId="0">
      <selection activeCell="B11" sqref="B11"/>
    </sheetView>
  </sheetViews>
  <sheetFormatPr baseColWidth="10" defaultRowHeight="13" x14ac:dyDescent="0.15"/>
  <cols>
    <col min="1" max="1" width="10.6640625" bestFit="1" customWidth="1"/>
    <col min="2" max="2" width="20.1640625" bestFit="1" customWidth="1"/>
  </cols>
  <sheetData>
    <row r="3" spans="1:2" x14ac:dyDescent="0.15">
      <c r="A3" s="10" t="s">
        <v>7</v>
      </c>
      <c r="B3" t="s">
        <v>12</v>
      </c>
    </row>
    <row r="4" spans="1:2" x14ac:dyDescent="0.15">
      <c r="A4" s="12">
        <v>0</v>
      </c>
      <c r="B4" s="1">
        <v>4.7000000000000011</v>
      </c>
    </row>
    <row r="5" spans="1:2" x14ac:dyDescent="0.15">
      <c r="A5" s="12">
        <v>1</v>
      </c>
      <c r="B5" s="1">
        <v>4.5400000000000018</v>
      </c>
    </row>
    <row r="6" spans="1:2" x14ac:dyDescent="0.15">
      <c r="A6" s="12">
        <v>2</v>
      </c>
      <c r="B6" s="1">
        <v>4.2000000000000011</v>
      </c>
    </row>
    <row r="7" spans="1:2" x14ac:dyDescent="0.15">
      <c r="A7" s="12">
        <v>3</v>
      </c>
      <c r="B7" s="1">
        <v>2.68</v>
      </c>
    </row>
    <row r="8" spans="1:2" x14ac:dyDescent="0.15">
      <c r="A8" s="12">
        <v>4</v>
      </c>
      <c r="B8" s="1">
        <v>3.580000000000001</v>
      </c>
    </row>
    <row r="9" spans="1:2" x14ac:dyDescent="0.15">
      <c r="A9" s="12">
        <v>5</v>
      </c>
      <c r="B9" s="1">
        <v>3.8600000000000017</v>
      </c>
    </row>
    <row r="10" spans="1:2" x14ac:dyDescent="0.15">
      <c r="A10" s="12">
        <v>6</v>
      </c>
      <c r="B10" s="1">
        <v>4.1800000000000015</v>
      </c>
    </row>
    <row r="11" spans="1:2" x14ac:dyDescent="0.15">
      <c r="A11" s="12">
        <v>7</v>
      </c>
      <c r="B11" s="1">
        <v>4.1400000000000015</v>
      </c>
    </row>
    <row r="12" spans="1:2" x14ac:dyDescent="0.15">
      <c r="A12" s="12">
        <v>8</v>
      </c>
      <c r="B12" s="1">
        <v>4.3000000000000016</v>
      </c>
    </row>
    <row r="13" spans="1:2" x14ac:dyDescent="0.15">
      <c r="A13" s="12">
        <v>9</v>
      </c>
      <c r="B13" s="1">
        <v>4.6800000000000006</v>
      </c>
    </row>
    <row r="14" spans="1:2" x14ac:dyDescent="0.15">
      <c r="A14" s="12">
        <v>10</v>
      </c>
      <c r="B14" s="1">
        <v>5.0799999999999992</v>
      </c>
    </row>
    <row r="15" spans="1:2" x14ac:dyDescent="0.15">
      <c r="A15" s="12">
        <v>11</v>
      </c>
      <c r="B15" s="1">
        <v>5.44</v>
      </c>
    </row>
    <row r="16" spans="1:2" x14ac:dyDescent="0.15">
      <c r="A16" s="12">
        <v>12</v>
      </c>
      <c r="B16" s="1">
        <v>6</v>
      </c>
    </row>
    <row r="17" spans="1:2" x14ac:dyDescent="0.15">
      <c r="A17" s="12">
        <v>13</v>
      </c>
      <c r="B17" s="1">
        <v>6.32</v>
      </c>
    </row>
    <row r="18" spans="1:2" x14ac:dyDescent="0.15">
      <c r="A18" s="12">
        <v>14</v>
      </c>
      <c r="B18" s="1">
        <v>6.6</v>
      </c>
    </row>
    <row r="19" spans="1:2" x14ac:dyDescent="0.15">
      <c r="A19" s="12">
        <v>15</v>
      </c>
      <c r="B19" s="1">
        <v>6.6200000000000028</v>
      </c>
    </row>
    <row r="20" spans="1:2" x14ac:dyDescent="0.15">
      <c r="A20" s="12">
        <v>16</v>
      </c>
      <c r="B20" s="1">
        <v>6.5400000000000009</v>
      </c>
    </row>
    <row r="21" spans="1:2" x14ac:dyDescent="0.15">
      <c r="A21" s="12">
        <v>17</v>
      </c>
      <c r="B21" s="1">
        <v>6.16</v>
      </c>
    </row>
    <row r="22" spans="1:2" x14ac:dyDescent="0.15">
      <c r="A22" s="12">
        <v>18</v>
      </c>
      <c r="B22" s="1">
        <v>5.660000000000001</v>
      </c>
    </row>
    <row r="23" spans="1:2" x14ac:dyDescent="0.15">
      <c r="A23" s="12">
        <v>19</v>
      </c>
      <c r="B23" s="1">
        <v>5.3200000000000012</v>
      </c>
    </row>
    <row r="24" spans="1:2" x14ac:dyDescent="0.15">
      <c r="A24" s="12">
        <v>20</v>
      </c>
      <c r="B24" s="1">
        <v>5.0999999999999996</v>
      </c>
    </row>
    <row r="25" spans="1:2" x14ac:dyDescent="0.15">
      <c r="A25" s="12">
        <v>21</v>
      </c>
      <c r="B25" s="1">
        <v>4.92</v>
      </c>
    </row>
    <row r="26" spans="1:2" x14ac:dyDescent="0.15">
      <c r="A26" s="12">
        <v>22</v>
      </c>
      <c r="B26" s="1">
        <v>4.7399999999999993</v>
      </c>
    </row>
    <row r="27" spans="1:2" x14ac:dyDescent="0.15">
      <c r="A27" s="12">
        <v>23</v>
      </c>
      <c r="B27" s="1">
        <v>4.7399999999999993</v>
      </c>
    </row>
    <row r="28" spans="1:2" x14ac:dyDescent="0.15">
      <c r="A28" s="12" t="s">
        <v>11</v>
      </c>
      <c r="B28" s="1">
        <v>120.10000000000001</v>
      </c>
    </row>
    <row r="47" spans="3:3" x14ac:dyDescent="0.15">
      <c r="C47" s="13" t="s">
        <v>21</v>
      </c>
    </row>
    <row r="48" spans="3:3" x14ac:dyDescent="0.15">
      <c r="C48" s="13" t="s">
        <v>22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09B7-190F-4B40-9CD0-1183198FC6B2}">
  <dimension ref="A3:C39"/>
  <sheetViews>
    <sheetView workbookViewId="0">
      <selection activeCell="B4" sqref="B4"/>
    </sheetView>
  </sheetViews>
  <sheetFormatPr baseColWidth="10" defaultRowHeight="13" x14ac:dyDescent="0.15"/>
  <cols>
    <col min="1" max="1" width="11.1640625" bestFit="1" customWidth="1"/>
    <col min="2" max="2" width="20.1640625" bestFit="1" customWidth="1"/>
    <col min="3" max="3" width="23.5" bestFit="1" customWidth="1"/>
  </cols>
  <sheetData>
    <row r="3" spans="1:2" x14ac:dyDescent="0.15">
      <c r="A3" s="10" t="s">
        <v>14</v>
      </c>
      <c r="B3" t="s">
        <v>12</v>
      </c>
    </row>
    <row r="4" spans="1:2" x14ac:dyDescent="0.15">
      <c r="A4" s="12">
        <v>0</v>
      </c>
      <c r="B4" s="1">
        <v>19.459999999999997</v>
      </c>
    </row>
    <row r="5" spans="1:2" x14ac:dyDescent="0.15">
      <c r="A5" s="12">
        <v>1</v>
      </c>
      <c r="B5" s="1">
        <v>14.399999999999995</v>
      </c>
    </row>
    <row r="6" spans="1:2" x14ac:dyDescent="0.15">
      <c r="A6" s="12">
        <v>2</v>
      </c>
      <c r="B6" s="1">
        <v>16.060000000000009</v>
      </c>
    </row>
    <row r="7" spans="1:2" x14ac:dyDescent="0.15">
      <c r="A7" s="12">
        <v>3</v>
      </c>
      <c r="B7" s="1">
        <v>19.219999999999992</v>
      </c>
    </row>
    <row r="8" spans="1:2" x14ac:dyDescent="0.15">
      <c r="A8" s="12">
        <v>4</v>
      </c>
      <c r="B8" s="1">
        <v>16.5</v>
      </c>
    </row>
    <row r="9" spans="1:2" x14ac:dyDescent="0.15">
      <c r="A9" s="12">
        <v>5</v>
      </c>
      <c r="B9" s="1">
        <v>15.279999999999992</v>
      </c>
    </row>
    <row r="10" spans="1:2" x14ac:dyDescent="0.15">
      <c r="A10" s="12">
        <v>6</v>
      </c>
      <c r="B10" s="1">
        <v>19.179999999999986</v>
      </c>
    </row>
    <row r="11" spans="1:2" x14ac:dyDescent="0.15">
      <c r="A11" s="12" t="s">
        <v>11</v>
      </c>
      <c r="B11" s="1">
        <v>120.09999999999997</v>
      </c>
    </row>
    <row r="38" spans="3:3" x14ac:dyDescent="0.15">
      <c r="C38" s="13" t="s">
        <v>23</v>
      </c>
    </row>
    <row r="39" spans="3:3" x14ac:dyDescent="0.15">
      <c r="C39" s="13" t="s">
        <v>24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500B-7047-104E-8489-5DFE9DA98D15}">
  <dimension ref="A3:O56"/>
  <sheetViews>
    <sheetView workbookViewId="0">
      <selection activeCell="B5" sqref="B5"/>
    </sheetView>
  </sheetViews>
  <sheetFormatPr baseColWidth="10" defaultRowHeight="13" x14ac:dyDescent="0.15"/>
  <cols>
    <col min="1" max="1" width="10.6640625" bestFit="1" customWidth="1"/>
    <col min="2" max="2" width="20.1640625" bestFit="1" customWidth="1"/>
  </cols>
  <sheetData>
    <row r="3" spans="1:15" x14ac:dyDescent="0.15">
      <c r="A3" s="10" t="s">
        <v>13</v>
      </c>
      <c r="B3" t="s">
        <v>12</v>
      </c>
    </row>
    <row r="4" spans="1:15" x14ac:dyDescent="0.15">
      <c r="A4" s="12">
        <v>1</v>
      </c>
      <c r="B4" s="1">
        <v>66.48</v>
      </c>
    </row>
    <row r="5" spans="1:15" x14ac:dyDescent="0.15">
      <c r="A5" s="12">
        <v>2</v>
      </c>
      <c r="B5" s="1">
        <v>42.99999999999995</v>
      </c>
    </row>
    <row r="6" spans="1:15" x14ac:dyDescent="0.15">
      <c r="A6" s="12">
        <v>3</v>
      </c>
      <c r="B6" s="1">
        <v>10.4</v>
      </c>
    </row>
    <row r="7" spans="1:15" x14ac:dyDescent="0.15">
      <c r="A7" s="12">
        <v>4</v>
      </c>
      <c r="B7" s="1">
        <v>0.22</v>
      </c>
    </row>
    <row r="8" spans="1:15" x14ac:dyDescent="0.15">
      <c r="A8" s="12" t="s">
        <v>11</v>
      </c>
      <c r="B8" s="1">
        <v>120.09999999999997</v>
      </c>
      <c r="O8" s="13" t="s">
        <v>32</v>
      </c>
    </row>
    <row r="9" spans="1:15" x14ac:dyDescent="0.15">
      <c r="O9" s="13" t="s">
        <v>33</v>
      </c>
    </row>
    <row r="10" spans="1:15" x14ac:dyDescent="0.15">
      <c r="O10" s="13" t="s">
        <v>34</v>
      </c>
    </row>
    <row r="11" spans="1:15" x14ac:dyDescent="0.15">
      <c r="O11" s="13" t="s">
        <v>35</v>
      </c>
    </row>
    <row r="24" spans="2:2" x14ac:dyDescent="0.15">
      <c r="B24" s="13" t="s">
        <v>25</v>
      </c>
    </row>
    <row r="25" spans="2:2" x14ac:dyDescent="0.15">
      <c r="B25" s="13" t="s">
        <v>26</v>
      </c>
    </row>
    <row r="48" spans="3:3" x14ac:dyDescent="0.15">
      <c r="C48" s="13" t="s">
        <v>31</v>
      </c>
    </row>
    <row r="50" spans="3:3" x14ac:dyDescent="0.15">
      <c r="C50" s="13" t="s">
        <v>27</v>
      </c>
    </row>
    <row r="52" spans="3:3" x14ac:dyDescent="0.15">
      <c r="C52" s="14" t="s">
        <v>28</v>
      </c>
    </row>
    <row r="54" spans="3:3" x14ac:dyDescent="0.15">
      <c r="C54" s="13" t="s">
        <v>29</v>
      </c>
    </row>
    <row r="56" spans="3:3" x14ac:dyDescent="0.15">
      <c r="C56" s="13" t="s">
        <v>30</v>
      </c>
    </row>
  </sheetData>
  <pageMargins left="0.7" right="0.7" top="0.75" bottom="0.75" header="0.3" footer="0.3"/>
  <pageSetup paperSize="9"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dataset_1</vt:lpstr>
      <vt:lpstr>Daily Average Temperature</vt:lpstr>
      <vt:lpstr>Hourly Temperature patten</vt:lpstr>
      <vt:lpstr>Weekday Temperature Trend</vt:lpstr>
      <vt:lpstr>Weather Vs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Swati Dwivedi</cp:lastModifiedBy>
  <cp:lastPrinted>2026-01-06T07:30:39Z</cp:lastPrinted>
  <dcterms:created xsi:type="dcterms:W3CDTF">2026-01-06T13:59:16Z</dcterms:created>
  <dcterms:modified xsi:type="dcterms:W3CDTF">2026-01-08T12:21:55Z</dcterms:modified>
</cp:coreProperties>
</file>